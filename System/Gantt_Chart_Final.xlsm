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Alaa\ITI\Software Engineering\Final_Data\"/>
    </mc:Choice>
  </mc:AlternateContent>
  <bookViews>
    <workbookView xWindow="0" yWindow="0" windowWidth="15345" windowHeight="4545" tabRatio="433" firstSheet="3" activeTab="4"/>
  </bookViews>
  <sheets>
    <sheet name="DashboardTemplate" sheetId="3" state="veryHidden" r:id="rId1"/>
    <sheet name="Template" sheetId="4" state="veryHidden" r:id="rId2"/>
    <sheet name="ganttsettings" sheetId="38" state="veryHidden" r:id="rId3"/>
    <sheet name="Help" sheetId="7" r:id="rId4"/>
    <sheet name="Project Plan" sheetId="40" r:id="rId5"/>
    <sheet name="GCS-1" sheetId="39" state="veryHidden" r:id="rId6"/>
  </sheets>
  <functionGroups builtInGroupCount="18"/>
  <definedNames>
    <definedName name="_xlnm.Print_Area" localSheetId="0">DashboardTemplate!$B$1:$G$69</definedName>
    <definedName name="_xlnm.Print_Titles" localSheetId="0">DashboardTemplate!$2:$2</definedName>
    <definedName name="VGD" localSheetId="5">#REF!</definedName>
    <definedName name="VGD" localSheetId="4">#REF!</definedName>
    <definedName name="VGD">#REF!</definedName>
  </definedName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sharedStrings.xml><?xml version="1.0" encoding="utf-8"?>
<sst xmlns="http://schemas.openxmlformats.org/spreadsheetml/2006/main" count="583" uniqueCount="247">
  <si>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</si>
  <si>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</si>
  <si>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</si>
  <si>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</si>
  <si>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</si>
  <si>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</si>
  <si>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</si>
  <si>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</si>
  <si>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</si>
  <si>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</si>
  <si>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</si>
  <si>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</si>
  <si>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</si>
  <si>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</si>
  <si>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</si>
  <si>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</si>
  <si>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</si>
  <si>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</si>
  <si>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</si>
  <si>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</si>
  <si>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</si>
  <si>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</si>
  <si>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</si>
  <si>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</si>
  <si>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</si>
  <si>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</si>
  <si>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</si>
  <si>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</si>
  <si>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</si>
  <si>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</si>
  <si>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</si>
  <si>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</si>
  <si>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</si>
  <si>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</si>
  <si>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</si>
  <si>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</si>
  <si>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</si>
  <si>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</si>
  <si>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</si>
  <si>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</si>
  <si>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</si>
  <si>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</si>
  <si>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</si>
  <si>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</si>
  <si>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</si>
  <si>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</si>
  <si>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</si>
  <si>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</si>
  <si>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</si>
  <si>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</si>
  <si>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</si>
  <si>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</si>
  <si>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</si>
  <si>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</si>
  <si>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</si>
  <si>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</si>
  <si>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</si>
  <si>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</si>
  <si>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</si>
  <si>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</si>
  <si>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</si>
  <si>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</si>
  <si>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</si>
  <si>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</si>
  <si>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</si>
  <si>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</si>
  <si>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</si>
  <si>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</si>
  <si>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</si>
  <si>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</si>
  <si>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</si>
  <si>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</si>
  <si>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</si>
  <si>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</si>
  <si>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</si>
  <si>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</si>
  <si>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</si>
  <si>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</si>
  <si>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</si>
  <si>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</si>
  <si>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</si>
  <si>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</si>
  <si>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</si>
  <si>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</si>
  <si>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</si>
  <si>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</si>
  <si>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</si>
  <si>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</si>
  <si>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</si>
  <si>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</si>
  <si>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</si>
  <si>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</si>
  <si>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</si>
  <si>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</si>
  <si>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</si>
  <si>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</si>
  <si>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</si>
  <si>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</si>
  <si>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</si>
  <si>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</si>
  <si>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</si>
  <si>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</si>
  <si>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</si>
  <si>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</si>
  <si>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</si>
  <si>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</si>
  <si>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</si>
  <si>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</si>
  <si>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</si>
  <si>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</si>
  <si>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</si>
  <si>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</si>
  <si>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</si>
  <si>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</si>
  <si>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</si>
  <si>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</si>
  <si>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CurrencySymbol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</si>
  <si>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</si>
  <si>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</si>
  <si>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</si>
  <si>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</si>
  <si>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</si>
  <si>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</si>
  <si>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</si>
  <si>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</si>
  <si>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</si>
  <si>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</si>
  <si>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</si>
  <si>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</si>
  <si>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</si>
  <si>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</si>
  <si>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</si>
  <si>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</si>
  <si>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</si>
  <si>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</si>
  <si>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</si>
  <si>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</si>
  <si>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</si>
  <si>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</si>
  <si>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</si>
  <si>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</si>
  <si>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</si>
  <si>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</si>
  <si>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</si>
  <si>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</si>
  <si>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</si>
  <si>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</si>
  <si>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</si>
  <si>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</si>
  <si>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</si>
  <si>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</si>
  <si>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</si>
  <si>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</si>
  <si>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</si>
  <si>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</si>
  <si>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</si>
  <si>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</si>
  <si>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</si>
  <si>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</si>
  <si>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</si>
  <si>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For Windows Excel versions 2007 - 2016 and MAC Excel Version 2016 v16.9 and above</t>
  </si>
  <si>
    <t>FiSa</t>
  </si>
  <si>
    <t>asdflkjl</t>
  </si>
  <si>
    <t>;J=,F\)-'+%tyzivm":YHs</t>
  </si>
  <si>
    <t>Resource Name</t>
  </si>
  <si>
    <t>Holiday Name</t>
  </si>
  <si>
    <t>Holiday Date</t>
  </si>
  <si>
    <t>Click Update Values once done</t>
  </si>
  <si>
    <t>Theme Name</t>
  </si>
  <si>
    <t>Dark</t>
  </si>
  <si>
    <t>Milestone</t>
  </si>
  <si>
    <t>Estimated Bar</t>
  </si>
  <si>
    <t>Baseline Bar</t>
  </si>
  <si>
    <t>Actual Bar</t>
  </si>
  <si>
    <t>Overdue Bar</t>
  </si>
  <si>
    <t>Dependency Connectors</t>
  </si>
  <si>
    <t>Today Line</t>
  </si>
  <si>
    <t>Task Border</t>
  </si>
  <si>
    <t>Classic</t>
  </si>
  <si>
    <t>Blue</t>
  </si>
  <si>
    <t>Excel</t>
  </si>
  <si>
    <t>Selected Theme</t>
  </si>
  <si>
    <t>Project Bar</t>
  </si>
  <si>
    <t>Header Bar</t>
  </si>
  <si>
    <t>TimelineColWidth</t>
  </si>
  <si>
    <t>Custom</t>
  </si>
  <si>
    <t>Holidays</t>
  </si>
  <si>
    <t>NonWorking Days</t>
  </si>
  <si>
    <t>Cal Row 2</t>
  </si>
  <si>
    <t>Cal Row 3</t>
  </si>
  <si>
    <t>Cal Row1-1</t>
  </si>
  <si>
    <t>Cal Row1-2</t>
  </si>
  <si>
    <t>ProjectSheetName</t>
  </si>
  <si>
    <t xml:space="preserve">Please enter values carefully. </t>
  </si>
  <si>
    <r>
      <rPr>
        <b/>
        <sz val="11"/>
        <color rgb="FFFF0000"/>
        <rFont val="Calibri"/>
        <family val="2"/>
        <scheme val="minor"/>
      </rPr>
      <t>DO NOT</t>
    </r>
    <r>
      <rPr>
        <sz val="11"/>
        <color rgb="FFFF0000"/>
        <rFont val="Calibri"/>
        <family val="2"/>
        <scheme val="minor"/>
      </rPr>
      <t xml:space="preserve"> change formats/ insert columns/ insert blank rows etc</t>
    </r>
  </si>
  <si>
    <t>TimeWeeks</t>
  </si>
  <si>
    <t>TimeMonths</t>
  </si>
  <si>
    <t>TimeQuarters</t>
  </si>
  <si>
    <t>TimeHalfs</t>
  </si>
  <si>
    <t>TimeYears</t>
  </si>
  <si>
    <t>WeekWidth</t>
  </si>
  <si>
    <t>MonthWidth</t>
  </si>
  <si>
    <t>QuarterWidth</t>
  </si>
  <si>
    <t>DayWidth</t>
  </si>
  <si>
    <t>HalfWidth</t>
  </si>
  <si>
    <t>YearlyWidth</t>
  </si>
  <si>
    <t>Project Lead:</t>
  </si>
  <si>
    <t>INSTRUCTIONS - READ THIS:</t>
  </si>
  <si>
    <t>Use the Gantt Tab in the Excel Ribbon to Create, view and edit Gantt Charts</t>
  </si>
  <si>
    <t>2.71.4</t>
  </si>
  <si>
    <t>Text Gantt Bar</t>
  </si>
  <si>
    <t>TimeDays</t>
  </si>
  <si>
    <r>
      <rPr>
        <b/>
        <sz val="11"/>
        <color rgb="FFFF0000"/>
        <rFont val="Calibri"/>
        <family val="2"/>
        <scheme val="minor"/>
      </rPr>
      <t>DO NOT Delete or R</t>
    </r>
    <r>
      <rPr>
        <sz val="11"/>
        <color rgb="FFFF0000"/>
        <rFont val="Calibri"/>
        <family val="2"/>
        <scheme val="minor"/>
      </rPr>
      <t>ename this worksheet</t>
    </r>
  </si>
  <si>
    <t>T42VP</t>
  </si>
  <si>
    <t>TR7+{.SK</t>
  </si>
  <si>
    <t>N4fL3sgyYf-Gm2xds9E-6dG7b72mev</t>
  </si>
  <si>
    <t>e|f!Crfp^mtxpq]sj(wgy"h{f</t>
  </si>
  <si>
    <t>GCS-1</t>
  </si>
  <si>
    <t>Project Lead: Double Click to edit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</si>
  <si>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$0.00 | Baseline: $0.00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$0.00 | Baseline: $0.00 | Actual: $0.00</t>
    </r>
  </si>
  <si>
    <t>M</t>
  </si>
  <si>
    <t>W</t>
  </si>
  <si>
    <t>F</t>
  </si>
  <si>
    <t>S</t>
  </si>
  <si>
    <t>Feb-19      [W6]</t>
  </si>
  <si>
    <t>Feb-19      [W7]</t>
  </si>
  <si>
    <t>Feb-19      [W8]</t>
  </si>
  <si>
    <t>Feb-19      [W9]</t>
  </si>
  <si>
    <t>Mar-19      [W10]</t>
  </si>
  <si>
    <t>Mar-19      [W11]</t>
  </si>
  <si>
    <t>Enable Macros</t>
  </si>
  <si>
    <t>Alaa Ezzat</t>
  </si>
  <si>
    <t>131013132385851390628494864013771059744140</t>
  </si>
  <si>
    <t>1I/(3f8 ~MBhrmHk]3\Q1</t>
  </si>
  <si>
    <t>Mar-19      [W12]</t>
  </si>
  <si>
    <t>Mar-19      [W13]</t>
  </si>
  <si>
    <t>ELEVATOR_PROJECT</t>
  </si>
  <si>
    <t>CRS Task</t>
  </si>
  <si>
    <t>2</t>
  </si>
  <si>
    <t>SRS Task</t>
  </si>
  <si>
    <t>3</t>
  </si>
  <si>
    <t>RTM Task</t>
  </si>
  <si>
    <t/>
  </si>
  <si>
    <t>4</t>
  </si>
  <si>
    <t>GDD Task</t>
  </si>
  <si>
    <t>5</t>
  </si>
  <si>
    <t>CDD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</si>
</sst>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\ dd/mmm/yy"/>
    <numFmt numFmtId="165" formatCode="&quot;Ft&quot;\ #,##0"/>
    <numFmt numFmtId="166" formatCode="ddd\ dd\-mmm\-yy"/>
    <numFmt numFmtId="167" formatCode="&quot;$&quot;\ #,##0"/>
    <numFmt numFmtId="168" formatCode="&quot;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5B9BD5"/>
      <name val="Calibri"/>
      <family val="2"/>
      <scheme val="minor"/>
    </font>
    <font>
      <sz val="11"/>
      <color rgb="FF808080"/>
      <name val="Calibri"/>
      <family val="2"/>
      <scheme val="minor"/>
    </font>
    <font>
      <sz val="8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7D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7E8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rgb="FFCCFFFF"/>
      </top>
      <bottom style="thin">
        <color rgb="FFCCFFFF"/>
      </bottom>
      <diagonal/>
    </border>
    <border>
      <left style="thin">
        <color theme="0" tint="-4.9989318521683403E-2"/>
      </left>
      <right/>
      <top style="thin">
        <color rgb="FFCCFFFF"/>
      </top>
      <bottom style="thin">
        <color rgb="FFCCFFFF"/>
      </bottom>
      <diagonal/>
    </border>
    <border>
      <left/>
      <right style="thin">
        <color rgb="FFD3D3D3"/>
      </right>
      <top style="thin">
        <color rgb="FFCCFFFF"/>
      </top>
      <bottom style="thin">
        <color rgb="FFCCFFFF"/>
      </bottom>
      <diagonal/>
    </border>
    <border>
      <left style="thin">
        <color rgb="FFD3D3D3"/>
      </left>
      <right style="thin">
        <color rgb="FFD3D3D3"/>
      </right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201">
    <xf numFmtId="0" fontId="0" fillId="0" borderId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</cellStyleXfs>
  <cellXfs count="30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/>
    <xf numFmtId="0" fontId="4" fillId="4" borderId="0" xfId="2" applyFont="1" applyFill="1" applyAlignment="1" applyProtection="1">
      <protection locked="0"/>
    </xf>
    <xf numFmtId="0" fontId="6" fillId="4" borderId="0" xfId="0" applyFont="1" applyFill="1" applyAlignment="1"/>
    <xf numFmtId="0" fontId="7" fillId="4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0" fillId="0" borderId="0" xfId="0" applyNumberFormat="1" applyFont="1" applyBorder="1"/>
    <xf numFmtId="3" fontId="11" fillId="0" borderId="3" xfId="0" applyNumberFormat="1" applyFont="1" applyBorder="1"/>
    <xf numFmtId="0" fontId="9" fillId="0" borderId="3" xfId="0" applyFont="1" applyBorder="1"/>
    <xf numFmtId="3" fontId="9" fillId="0" borderId="0" xfId="0" applyNumberFormat="1" applyFont="1" applyBorder="1"/>
    <xf numFmtId="3" fontId="9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9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9" fillId="0" borderId="0" xfId="0" applyNumberFormat="1" applyFont="1" applyBorder="1"/>
    <xf numFmtId="15" fontId="9" fillId="0" borderId="3" xfId="0" applyNumberFormat="1" applyFont="1" applyBorder="1"/>
    <xf numFmtId="0" fontId="9" fillId="0" borderId="0" xfId="0" applyFont="1" applyBorder="1" applyAlignment="1">
      <alignment horizontal="right"/>
    </xf>
    <xf numFmtId="0" fontId="9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1" fillId="0" borderId="0" xfId="4" applyFont="1" applyFill="1" applyBorder="1" applyAlignment="1" applyProtection="1">
      <alignment vertical="top"/>
      <protection locked="0"/>
    </xf>
    <xf numFmtId="0" fontId="11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9" fillId="0" borderId="0" xfId="3" applyNumberFormat="1" applyFont="1" applyFill="1" applyBorder="1" applyAlignment="1" applyProtection="1">
      <alignment horizontal="center" vertical="top"/>
    </xf>
    <xf numFmtId="0" fontId="9" fillId="0" borderId="0" xfId="3" applyNumberFormat="1" applyFont="1" applyFill="1" applyBorder="1" applyAlignment="1" applyProtection="1">
      <alignment horizontal="center" vertical="top"/>
      <protection locked="0"/>
    </xf>
    <xf numFmtId="9" fontId="11" fillId="0" borderId="0" xfId="4" applyNumberFormat="1" applyFont="1" applyFill="1" applyBorder="1" applyAlignment="1" applyProtection="1">
      <alignment horizontal="right" vertical="top"/>
    </xf>
    <xf numFmtId="165" fontId="11" fillId="0" borderId="0" xfId="4" applyNumberFormat="1" applyFont="1" applyFill="1" applyBorder="1" applyAlignment="1" applyProtection="1">
      <alignment vertical="top"/>
    </xf>
    <xf numFmtId="0" fontId="11" fillId="0" borderId="0" xfId="4" applyFont="1" applyFill="1" applyBorder="1" applyAlignment="1" applyProtection="1">
      <alignment vertical="top"/>
    </xf>
    <xf numFmtId="49" fontId="11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9" fillId="0" borderId="0" xfId="4" applyFont="1" applyAlignment="1" applyProtection="1">
      <alignment horizontal="center" vertical="top"/>
      <protection locked="0"/>
    </xf>
    <xf numFmtId="0" fontId="9" fillId="0" borderId="0" xfId="4" applyNumberFormat="1" applyFont="1" applyFill="1" applyBorder="1" applyAlignment="1" applyProtection="1">
      <alignment horizontal="center" vertical="top"/>
      <protection locked="0"/>
    </xf>
    <xf numFmtId="0" fontId="9" fillId="0" borderId="0" xfId="4" applyFont="1" applyFill="1" applyBorder="1" applyAlignment="1" applyProtection="1">
      <alignment horizontal="center" vertical="top"/>
      <protection locked="0"/>
    </xf>
    <xf numFmtId="0" fontId="9" fillId="0" borderId="0" xfId="4" applyFont="1" applyBorder="1" applyAlignment="1" applyProtection="1">
      <alignment horizontal="center" vertical="top"/>
      <protection locked="0"/>
    </xf>
    <xf numFmtId="0" fontId="11" fillId="0" borderId="0" xfId="4" applyFont="1" applyBorder="1" applyAlignment="1" applyProtection="1">
      <alignment vertical="top"/>
      <protection locked="0"/>
    </xf>
    <xf numFmtId="166" fontId="11" fillId="0" borderId="0" xfId="4" applyNumberFormat="1" applyFont="1" applyBorder="1" applyAlignment="1" applyProtection="1">
      <alignment vertical="top"/>
      <protection locked="0"/>
    </xf>
    <xf numFmtId="49" fontId="11" fillId="0" borderId="0" xfId="4" applyNumberFormat="1" applyFont="1" applyFill="1" applyBorder="1" applyAlignment="1" applyProtection="1">
      <alignment horizontal="right" vertical="top"/>
      <protection locked="0"/>
    </xf>
    <xf numFmtId="0" fontId="8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 applyProtection="1">
      <alignment horizontal="left" vertical="center"/>
      <protection locked="0"/>
    </xf>
    <xf numFmtId="0" fontId="0" fillId="4" borderId="0" xfId="0" applyFill="1"/>
    <xf numFmtId="0" fontId="8" fillId="0" borderId="0" xfId="4" applyFill="1" applyBorder="1" applyProtection="1"/>
    <xf numFmtId="0" fontId="8" fillId="0" borderId="0" xfId="4" applyFont="1" applyFill="1" applyBorder="1" applyProtection="1"/>
    <xf numFmtId="0" fontId="11" fillId="0" borderId="0" xfId="4" applyFont="1" applyProtection="1"/>
    <xf numFmtId="0" fontId="11" fillId="0" borderId="0" xfId="4" applyNumberFormat="1" applyFont="1" applyFill="1" applyBorder="1" applyAlignment="1" applyProtection="1">
      <alignment horizontal="left" vertical="top" wrapText="1"/>
      <protection locked="0"/>
    </xf>
    <xf numFmtId="9" fontId="9" fillId="0" borderId="0" xfId="3" applyFont="1" applyFill="1" applyBorder="1" applyAlignment="1" applyProtection="1">
      <alignment horizontal="center" vertical="top" wrapText="1"/>
      <protection locked="0"/>
    </xf>
    <xf numFmtId="3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1" fillId="0" borderId="0" xfId="4" applyNumberFormat="1" applyFont="1" applyFill="1" applyBorder="1" applyAlignment="1" applyProtection="1">
      <alignment vertical="top" wrapText="1"/>
      <protection locked="0"/>
    </xf>
    <xf numFmtId="0" fontId="11" fillId="0" borderId="0" xfId="4" applyFont="1" applyFill="1" applyBorder="1" applyAlignment="1" applyProtection="1">
      <alignment vertical="top" wrapText="1"/>
      <protection locked="0"/>
    </xf>
    <xf numFmtId="0" fontId="14" fillId="0" borderId="0" xfId="4" applyFont="1" applyFill="1" applyBorder="1" applyAlignment="1" applyProtection="1">
      <alignment horizontal="left" vertical="top" wrapText="1"/>
      <protection locked="0"/>
    </xf>
    <xf numFmtId="0" fontId="8" fillId="0" borderId="0" xfId="4" applyFill="1" applyBorder="1" applyAlignment="1" applyProtection="1"/>
    <xf numFmtId="9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15" fillId="5" borderId="7" xfId="4" applyNumberFormat="1" applyFont="1" applyFill="1" applyBorder="1" applyAlignment="1" applyProtection="1">
      <alignment horizontal="center" vertical="top" wrapText="1"/>
      <protection locked="0"/>
    </xf>
    <xf numFmtId="166" fontId="15" fillId="5" borderId="7" xfId="4" applyNumberFormat="1" applyFont="1" applyFill="1" applyBorder="1" applyAlignment="1" applyProtection="1">
      <alignment horizontal="center" vertical="top" wrapText="1"/>
      <protection locked="0"/>
    </xf>
    <xf numFmtId="166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15" fillId="5" borderId="6" xfId="4" applyFont="1" applyFill="1" applyBorder="1" applyAlignment="1" applyProtection="1">
      <alignment horizontal="center" vertical="top" wrapText="1"/>
      <protection locked="0"/>
    </xf>
    <xf numFmtId="0" fontId="15" fillId="5" borderId="6" xfId="4" applyFont="1" applyFill="1" applyBorder="1" applyAlignment="1" applyProtection="1">
      <alignment horizontal="left" vertical="top" wrapText="1"/>
      <protection locked="0"/>
    </xf>
    <xf numFmtId="0" fontId="15" fillId="5" borderId="6" xfId="4" applyFont="1" applyFill="1" applyBorder="1" applyAlignment="1" applyProtection="1">
      <alignment horizontal="left" vertical="top" wrapText="1"/>
    </xf>
    <xf numFmtId="0" fontId="16" fillId="0" borderId="0" xfId="0" applyFont="1" applyBorder="1" applyAlignment="1" applyProtection="1">
      <protection locked="0"/>
    </xf>
    <xf numFmtId="0" fontId="16" fillId="0" borderId="8" xfId="0" applyNumberFormat="1" applyFont="1" applyBorder="1" applyAlignment="1" applyProtection="1">
      <protection locked="0"/>
    </xf>
    <xf numFmtId="0" fontId="16" fillId="0" borderId="8" xfId="0" applyFont="1" applyBorder="1" applyAlignment="1" applyProtection="1">
      <protection locked="0"/>
    </xf>
    <xf numFmtId="0" fontId="16" fillId="0" borderId="8" xfId="0" applyFont="1" applyBorder="1" applyAlignment="1" applyProtection="1">
      <alignment horizontal="left"/>
    </xf>
    <xf numFmtId="0" fontId="1" fillId="3" borderId="0" xfId="0" applyFont="1" applyFill="1" applyProtection="1">
      <protection locked="0"/>
    </xf>
    <xf numFmtId="0" fontId="17" fillId="3" borderId="0" xfId="0" applyNumberFormat="1" applyFont="1" applyFill="1" applyProtection="1">
      <protection locked="0"/>
    </xf>
    <xf numFmtId="0" fontId="17" fillId="3" borderId="0" xfId="0" applyFont="1" applyFill="1" applyProtection="1">
      <protection locked="0"/>
    </xf>
    <xf numFmtId="0" fontId="18" fillId="3" borderId="0" xfId="4" applyFont="1" applyFill="1" applyAlignment="1" applyProtection="1">
      <protection locked="0"/>
    </xf>
    <xf numFmtId="0" fontId="19" fillId="6" borderId="0" xfId="4" applyFont="1" applyFill="1" applyAlignment="1" applyProtection="1">
      <alignment vertical="center"/>
      <protection locked="0"/>
    </xf>
    <xf numFmtId="0" fontId="19" fillId="6" borderId="0" xfId="4" applyFont="1" applyFill="1" applyAlignment="1" applyProtection="1">
      <alignment horizontal="right" vertical="center"/>
      <protection locked="0"/>
    </xf>
    <xf numFmtId="0" fontId="19" fillId="6" borderId="0" xfId="4" applyNumberFormat="1" applyFont="1" applyFill="1" applyAlignment="1" applyProtection="1">
      <alignment vertical="center"/>
      <protection locked="0"/>
    </xf>
    <xf numFmtId="0" fontId="9" fillId="0" borderId="0" xfId="4" applyFont="1" applyAlignment="1" applyProtection="1">
      <alignment horizontal="center" vertical="top"/>
    </xf>
    <xf numFmtId="0" fontId="11" fillId="0" borderId="0" xfId="4" applyNumberFormat="1" applyFont="1" applyAlignment="1" applyProtection="1">
      <alignment vertical="top"/>
    </xf>
    <xf numFmtId="166" fontId="11" fillId="0" borderId="0" xfId="4" applyNumberFormat="1" applyFont="1" applyAlignment="1" applyProtection="1">
      <alignment vertical="top"/>
    </xf>
    <xf numFmtId="0" fontId="11" fillId="0" borderId="0" xfId="4" applyFont="1" applyAlignment="1" applyProtection="1">
      <alignment vertical="top"/>
    </xf>
    <xf numFmtId="0" fontId="11" fillId="0" borderId="0" xfId="4" applyFont="1" applyAlignment="1" applyProtection="1">
      <alignment vertical="top" wrapText="1"/>
    </xf>
    <xf numFmtId="0" fontId="11" fillId="0" borderId="0" xfId="4" applyNumberFormat="1" applyFont="1" applyFill="1" applyBorder="1" applyAlignment="1" applyProtection="1">
      <alignment horizontal="left" vertical="top"/>
    </xf>
    <xf numFmtId="49" fontId="8" fillId="0" borderId="0" xfId="4" applyNumberFormat="1" applyFill="1" applyBorder="1" applyProtection="1"/>
    <xf numFmtId="0" fontId="8" fillId="0" borderId="0" xfId="4" applyFill="1" applyBorder="1" applyProtection="1">
      <protection locked="0"/>
    </xf>
    <xf numFmtId="4" fontId="8" fillId="0" borderId="0" xfId="4" applyNumberFormat="1" applyFill="1" applyBorder="1" applyProtection="1">
      <protection locked="0"/>
    </xf>
    <xf numFmtId="0" fontId="11" fillId="0" borderId="0" xfId="4" applyFont="1" applyAlignment="1" applyProtection="1">
      <alignment horizontal="center" vertical="top"/>
    </xf>
    <xf numFmtId="0" fontId="11" fillId="0" borderId="0" xfId="4" applyNumberFormat="1" applyFont="1" applyFill="1" applyBorder="1" applyAlignment="1" applyProtection="1">
      <alignment horizontal="right" vertical="top"/>
    </xf>
    <xf numFmtId="0" fontId="20" fillId="0" borderId="3" xfId="0" applyFont="1" applyBorder="1"/>
    <xf numFmtId="0" fontId="0" fillId="4" borderId="0" xfId="0" applyFill="1" applyProtection="1">
      <protection locked="0"/>
    </xf>
    <xf numFmtId="0" fontId="0" fillId="4" borderId="0" xfId="0" applyFill="1" applyAlignment="1" applyProtection="1">
      <protection locked="0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12" fillId="3" borderId="0" xfId="0" applyFont="1" applyFill="1" applyBorder="1" applyAlignment="1"/>
    <xf numFmtId="0" fontId="0" fillId="3" borderId="9" xfId="0" applyFill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Border="1" applyAlignment="1">
      <alignment horizontal="left" vertical="center"/>
    </xf>
    <xf numFmtId="0" fontId="22" fillId="3" borderId="0" xfId="0" applyFont="1" applyFill="1" applyProtection="1">
      <protection locked="0"/>
    </xf>
    <xf numFmtId="0" fontId="22" fillId="3" borderId="5" xfId="0" applyFont="1" applyFill="1" applyBorder="1" applyProtection="1">
      <protection locked="0"/>
    </xf>
    <xf numFmtId="0" fontId="22" fillId="3" borderId="5" xfId="0" applyFont="1" applyFill="1" applyBorder="1" applyAlignment="1" applyProtection="1">
      <alignment horizontal="right"/>
      <protection locked="0"/>
    </xf>
    <xf numFmtId="0" fontId="22" fillId="3" borderId="2" xfId="0" applyFont="1" applyFill="1" applyBorder="1" applyAlignment="1" applyProtection="1">
      <alignment horizontal="right"/>
      <protection locked="0"/>
    </xf>
    <xf numFmtId="0" fontId="22" fillId="3" borderId="0" xfId="0" applyFont="1" applyFill="1" applyBorder="1" applyAlignment="1" applyProtection="1">
      <alignment horizontal="right"/>
      <protection locked="0"/>
    </xf>
    <xf numFmtId="9" fontId="22" fillId="3" borderId="5" xfId="0" applyNumberFormat="1" applyFont="1" applyFill="1" applyBorder="1" applyProtection="1">
      <protection locked="0"/>
    </xf>
    <xf numFmtId="9" fontId="22" fillId="3" borderId="5" xfId="0" applyNumberFormat="1" applyFont="1" applyFill="1" applyBorder="1" applyAlignment="1" applyProtection="1">
      <alignment horizontal="right"/>
      <protection locked="0"/>
    </xf>
    <xf numFmtId="9" fontId="22" fillId="3" borderId="0" xfId="0" applyNumberFormat="1" applyFont="1" applyFill="1" applyBorder="1" applyAlignment="1" applyProtection="1">
      <alignment horizontal="right"/>
      <protection locked="0"/>
    </xf>
    <xf numFmtId="0" fontId="22" fillId="3" borderId="0" xfId="0" applyFont="1" applyFill="1" applyAlignment="1" applyProtection="1">
      <alignment horizontal="right"/>
      <protection locked="0"/>
    </xf>
    <xf numFmtId="164" fontId="11" fillId="0" borderId="0" xfId="4" applyNumberFormat="1" applyFont="1" applyFill="1" applyBorder="1" applyAlignment="1" applyProtection="1">
      <alignment vertical="top"/>
    </xf>
    <xf numFmtId="164" fontId="11" fillId="0" borderId="0" xfId="4" applyNumberFormat="1" applyFont="1" applyFill="1" applyBorder="1" applyAlignment="1" applyProtection="1">
      <alignment horizontal="right" vertical="top"/>
    </xf>
    <xf numFmtId="3" fontId="11" fillId="0" borderId="0" xfId="4" applyNumberFormat="1" applyFont="1" applyFill="1" applyBorder="1" applyAlignment="1" applyProtection="1">
      <alignment horizontal="right" vertical="top"/>
    </xf>
    <xf numFmtId="3" fontId="9" fillId="0" borderId="0" xfId="3" applyNumberFormat="1" applyFont="1" applyFill="1" applyBorder="1" applyAlignment="1" applyProtection="1">
      <alignment horizontal="center" vertical="top"/>
    </xf>
    <xf numFmtId="9" fontId="15" fillId="5" borderId="0" xfId="4" applyNumberFormat="1" applyFont="1" applyFill="1" applyBorder="1" applyAlignment="1" applyProtection="1">
      <alignment horizontal="center" vertical="top" wrapText="1"/>
      <protection locked="0"/>
    </xf>
    <xf numFmtId="0" fontId="11" fillId="0" borderId="0" xfId="4" applyFont="1" applyAlignment="1" applyProtection="1">
      <alignment horizontal="center" vertical="top"/>
      <protection locked="0"/>
    </xf>
    <xf numFmtId="9" fontId="9" fillId="7" borderId="0" xfId="3" applyFont="1" applyFill="1" applyBorder="1" applyAlignment="1" applyProtection="1">
      <alignment horizontal="center" vertical="top" wrapText="1"/>
      <protection locked="0"/>
    </xf>
    <xf numFmtId="9" fontId="9" fillId="2" borderId="0" xfId="3" applyFont="1" applyFill="1" applyBorder="1" applyAlignment="1" applyProtection="1">
      <alignment horizontal="center" vertical="top" wrapText="1"/>
      <protection locked="0"/>
    </xf>
    <xf numFmtId="0" fontId="24" fillId="0" borderId="0" xfId="0" applyFont="1"/>
    <xf numFmtId="0" fontId="5" fillId="4" borderId="0" xfId="0" applyFont="1" applyFill="1" applyAlignment="1">
      <alignment horizontal="left" vertical="center" indent="5"/>
    </xf>
    <xf numFmtId="0" fontId="0" fillId="4" borderId="0" xfId="0" applyFill="1" applyBorder="1" applyAlignment="1"/>
    <xf numFmtId="0" fontId="0" fillId="2" borderId="0" xfId="0" applyFill="1" applyAlignment="1"/>
    <xf numFmtId="0" fontId="5" fillId="2" borderId="0" xfId="0" applyFont="1" applyFill="1" applyAlignment="1">
      <alignment horizontal="left" vertical="center" indent="5"/>
    </xf>
    <xf numFmtId="0" fontId="4" fillId="2" borderId="0" xfId="2" applyFont="1" applyFill="1" applyAlignment="1" applyProtection="1">
      <protection locked="0"/>
    </xf>
    <xf numFmtId="166" fontId="11" fillId="0" borderId="0" xfId="4" applyNumberFormat="1" applyFont="1" applyAlignment="1" applyProtection="1">
      <alignment horizontal="right" vertical="top"/>
    </xf>
    <xf numFmtId="0" fontId="17" fillId="3" borderId="0" xfId="0" applyFont="1" applyFill="1" applyAlignment="1" applyProtection="1">
      <alignment horizontal="right"/>
      <protection locked="0"/>
    </xf>
    <xf numFmtId="0" fontId="16" fillId="0" borderId="8" xfId="0" applyFont="1" applyBorder="1" applyAlignment="1" applyProtection="1">
      <alignment horizontal="right"/>
      <protection locked="0"/>
    </xf>
    <xf numFmtId="9" fontId="9" fillId="0" borderId="0" xfId="4" applyNumberFormat="1" applyFont="1" applyAlignment="1" applyProtection="1">
      <alignment horizontal="center" vertical="top"/>
    </xf>
    <xf numFmtId="9" fontId="11" fillId="0" borderId="0" xfId="4" applyNumberFormat="1" applyFont="1" applyAlignment="1" applyProtection="1">
      <alignment horizontal="center" vertical="top"/>
    </xf>
    <xf numFmtId="9" fontId="19" fillId="6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16" fillId="0" borderId="8" xfId="0" applyNumberFormat="1" applyFont="1" applyBorder="1" applyAlignment="1" applyProtection="1">
      <protection locked="0"/>
    </xf>
    <xf numFmtId="9" fontId="9" fillId="0" borderId="0" xfId="3" applyNumberFormat="1" applyFont="1" applyFill="1" applyBorder="1" applyAlignment="1" applyProtection="1">
      <alignment horizontal="center" vertical="top" wrapText="1"/>
      <protection locked="0"/>
    </xf>
    <xf numFmtId="0" fontId="11" fillId="0" borderId="0" xfId="4" applyNumberFormat="1" applyFont="1" applyAlignment="1" applyProtection="1">
      <alignment horizontal="right" vertical="top"/>
    </xf>
    <xf numFmtId="0" fontId="19" fillId="6" borderId="0" xfId="4" applyNumberFormat="1" applyFont="1" applyFill="1" applyAlignment="1" applyProtection="1">
      <alignment horizontal="right" vertical="center"/>
      <protection locked="0"/>
    </xf>
    <xf numFmtId="0" fontId="17" fillId="3" borderId="0" xfId="0" applyNumberFormat="1" applyFont="1" applyFill="1" applyAlignment="1" applyProtection="1">
      <alignment horizontal="right"/>
      <protection locked="0"/>
    </xf>
    <xf numFmtId="0" fontId="16" fillId="0" borderId="8" xfId="0" applyNumberFormat="1" applyFont="1" applyBorder="1" applyAlignment="1" applyProtection="1">
      <alignment horizontal="right"/>
      <protection locked="0"/>
    </xf>
    <xf numFmtId="167" fontId="11" fillId="0" borderId="0" xfId="4" applyNumberFormat="1" applyFont="1" applyFill="1" applyBorder="1" applyAlignment="1" applyProtection="1">
      <alignment vertical="top" wrapText="1"/>
      <protection locked="0"/>
    </xf>
    <xf numFmtId="0" fontId="15" fillId="5" borderId="6" xfId="4" applyNumberFormat="1" applyFont="1" applyFill="1" applyBorder="1" applyAlignment="1" applyProtection="1">
      <alignment horizontal="center" vertical="top" wrapText="1"/>
      <protection locked="0"/>
    </xf>
    <xf numFmtId="0" fontId="9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16" fillId="0" borderId="0" xfId="0" applyNumberFormat="1" applyFont="1" applyBorder="1" applyAlignment="1" applyProtection="1">
      <alignment horizontal="right"/>
      <protection locked="0"/>
    </xf>
    <xf numFmtId="0" fontId="19" fillId="6" borderId="0" xfId="4" applyFont="1" applyFill="1" applyAlignment="1" applyProtection="1">
      <alignment horizontal="left" vertical="center"/>
      <protection locked="0"/>
    </xf>
    <xf numFmtId="0" fontId="16" fillId="3" borderId="0" xfId="4" applyFont="1" applyFill="1" applyAlignment="1" applyProtection="1">
      <alignment horizontal="left" vertical="center"/>
      <protection locked="0"/>
    </xf>
    <xf numFmtId="0" fontId="16" fillId="3" borderId="0" xfId="4" applyFont="1" applyFill="1" applyAlignment="1" applyProtection="1">
      <alignment vertical="center"/>
      <protection locked="0"/>
    </xf>
    <xf numFmtId="0" fontId="18" fillId="3" borderId="0" xfId="4" applyNumberFormat="1" applyFont="1" applyFill="1" applyAlignment="1" applyProtection="1">
      <protection locked="0"/>
    </xf>
    <xf numFmtId="168" fontId="9" fillId="0" borderId="0" xfId="3" applyNumberFormat="1" applyFont="1" applyFill="1" applyBorder="1" applyAlignment="1" applyProtection="1">
      <alignment horizontal="right" vertical="top" wrapText="1"/>
      <protection locked="0"/>
    </xf>
    <xf numFmtId="14" fontId="8" fillId="0" borderId="0" xfId="4" applyNumberFormat="1" applyFill="1" applyBorder="1" applyProtection="1">
      <protection locked="0"/>
    </xf>
    <xf numFmtId="0" fontId="3" fillId="4" borderId="0" xfId="2" applyFill="1" applyBorder="1" applyAlignment="1">
      <alignment horizontal="center"/>
    </xf>
    <xf numFmtId="0" fontId="26" fillId="4" borderId="0" xfId="0" applyFont="1" applyFill="1" applyBorder="1" applyAlignment="1">
      <alignment horizontal="left" vertical="center"/>
    </xf>
    <xf numFmtId="0" fontId="27" fillId="4" borderId="0" xfId="0" applyFont="1" applyFill="1" applyBorder="1" applyAlignment="1"/>
    <xf numFmtId="49" fontId="0" fillId="0" borderId="0" xfId="0" applyNumberFormat="1"/>
    <xf numFmtId="15" fontId="0" fillId="0" borderId="0" xfId="0" applyNumberFormat="1"/>
    <xf numFmtId="0" fontId="0" fillId="0" borderId="0" xfId="0" applyNumberFormat="1"/>
    <xf numFmtId="0" fontId="0" fillId="0" borderId="0" xfId="0" applyFill="1"/>
    <xf numFmtId="15" fontId="0" fillId="0" borderId="0" xfId="0" applyNumberFormat="1" applyFill="1"/>
    <xf numFmtId="0" fontId="0" fillId="0" borderId="0" xfId="0" applyNumberFormat="1" applyFill="1"/>
    <xf numFmtId="0" fontId="30" fillId="0" borderId="0" xfId="0" applyFont="1"/>
    <xf numFmtId="0" fontId="0" fillId="8" borderId="0" xfId="0" applyFill="1"/>
    <xf numFmtId="0" fontId="0" fillId="9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0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6" borderId="0" xfId="0" applyFill="1"/>
    <xf numFmtId="0" fontId="0" fillId="22" borderId="0" xfId="0" applyFill="1"/>
    <xf numFmtId="0" fontId="0" fillId="11" borderId="0" xfId="0" applyFill="1"/>
    <xf numFmtId="0" fontId="0" fillId="23" borderId="0" xfId="0" applyFill="1"/>
    <xf numFmtId="0" fontId="0" fillId="24" borderId="0" xfId="0" applyFill="1"/>
    <xf numFmtId="0" fontId="0" fillId="5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28" fillId="10" borderId="0" xfId="0" applyFont="1" applyFill="1" applyAlignment="1"/>
    <xf numFmtId="0" fontId="31" fillId="10" borderId="0" xfId="0" applyFont="1" applyFill="1"/>
    <xf numFmtId="0" fontId="0" fillId="37" borderId="0" xfId="0" applyFill="1"/>
    <xf numFmtId="0" fontId="0" fillId="38" borderId="0" xfId="0" applyFill="1"/>
    <xf numFmtId="0" fontId="0" fillId="7" borderId="0" xfId="0" applyFill="1"/>
    <xf numFmtId="0" fontId="0" fillId="39" borderId="0" xfId="0" applyFill="1"/>
    <xf numFmtId="0" fontId="0" fillId="40" borderId="0" xfId="0" applyFill="1"/>
    <xf numFmtId="0" fontId="29" fillId="0" borderId="0" xfId="0" applyFont="1" applyAlignment="1">
      <alignment horizontal="left"/>
    </xf>
    <xf numFmtId="0" fontId="31" fillId="0" borderId="0" xfId="0" applyFont="1"/>
    <xf numFmtId="0" fontId="0" fillId="41" borderId="0" xfId="0" applyFill="1"/>
    <xf numFmtId="0" fontId="0" fillId="42" borderId="0" xfId="0" applyFill="1"/>
    <xf numFmtId="0" fontId="0" fillId="42" borderId="0" xfId="0" applyFill="1" applyProtection="1">
      <protection locked="0"/>
    </xf>
    <xf numFmtId="0" fontId="0" fillId="41" borderId="0" xfId="0" applyFill="1" applyProtection="1">
      <protection locked="0"/>
    </xf>
    <xf numFmtId="166" fontId="11" fillId="0" borderId="0" xfId="4" applyNumberFormat="1" applyFont="1" applyFill="1" applyBorder="1" applyAlignment="1" applyProtection="1">
      <alignment horizontal="right" vertical="top" wrapText="1"/>
      <protection locked="0"/>
    </xf>
    <xf numFmtId="166" fontId="0" fillId="0" borderId="0" xfId="0" applyNumberFormat="1" applyProtection="1">
      <protection locked="0"/>
    </xf>
    <xf numFmtId="0" fontId="8" fillId="0" borderId="10" xfId="4" applyFill="1" applyBorder="1" applyProtection="1"/>
    <xf numFmtId="0" fontId="16" fillId="3" borderId="10" xfId="4" applyFont="1" applyFill="1" applyBorder="1" applyAlignment="1" applyProtection="1">
      <alignment vertical="center"/>
      <protection locked="0"/>
    </xf>
    <xf numFmtId="0" fontId="18" fillId="3" borderId="10" xfId="4" applyFont="1" applyFill="1" applyBorder="1" applyAlignment="1" applyProtection="1">
      <protection locked="0"/>
    </xf>
    <xf numFmtId="0" fontId="18" fillId="3" borderId="10" xfId="4" applyNumberFormat="1" applyFont="1" applyFill="1" applyBorder="1" applyAlignment="1" applyProtection="1">
      <protection locked="0"/>
    </xf>
    <xf numFmtId="0" fontId="17" fillId="3" borderId="10" xfId="0" applyFont="1" applyFill="1" applyBorder="1" applyProtection="1">
      <protection locked="0"/>
    </xf>
    <xf numFmtId="0" fontId="17" fillId="3" borderId="10" xfId="0" applyNumberFormat="1" applyFont="1" applyFill="1" applyBorder="1" applyProtection="1">
      <protection locked="0"/>
    </xf>
    <xf numFmtId="0" fontId="17" fillId="3" borderId="10" xfId="0" applyFont="1" applyFill="1" applyBorder="1" applyAlignment="1" applyProtection="1">
      <alignment horizontal="right"/>
      <protection locked="0"/>
    </xf>
    <xf numFmtId="0" fontId="17" fillId="3" borderId="10" xfId="0" applyNumberFormat="1" applyFont="1" applyFill="1" applyBorder="1" applyAlignment="1" applyProtection="1">
      <alignment horizontal="right"/>
      <protection locked="0"/>
    </xf>
    <xf numFmtId="9" fontId="1" fillId="3" borderId="10" xfId="0" applyNumberFormat="1" applyFont="1" applyFill="1" applyBorder="1" applyProtection="1">
      <protection locked="0"/>
    </xf>
    <xf numFmtId="0" fontId="1" fillId="3" borderId="10" xfId="0" applyNumberFormat="1" applyFont="1" applyFill="1" applyBorder="1" applyAlignment="1" applyProtection="1">
      <alignment horizontal="right"/>
      <protection locked="0"/>
    </xf>
    <xf numFmtId="0" fontId="1" fillId="3" borderId="10" xfId="0" applyFont="1" applyFill="1" applyBorder="1" applyProtection="1">
      <protection locked="0"/>
    </xf>
    <xf numFmtId="0" fontId="16" fillId="0" borderId="10" xfId="0" applyFont="1" applyBorder="1" applyAlignment="1" applyProtection="1">
      <protection locked="0"/>
    </xf>
    <xf numFmtId="0" fontId="16" fillId="0" borderId="10" xfId="0" applyNumberFormat="1" applyFont="1" applyBorder="1" applyAlignment="1" applyProtection="1">
      <protection locked="0"/>
    </xf>
    <xf numFmtId="0" fontId="16" fillId="0" borderId="10" xfId="0" applyFont="1" applyBorder="1" applyAlignment="1" applyProtection="1">
      <alignment horizontal="right"/>
      <protection locked="0"/>
    </xf>
    <xf numFmtId="0" fontId="16" fillId="0" borderId="10" xfId="0" applyNumberFormat="1" applyFont="1" applyBorder="1" applyAlignment="1" applyProtection="1">
      <alignment horizontal="right"/>
      <protection locked="0"/>
    </xf>
    <xf numFmtId="9" fontId="16" fillId="0" borderId="10" xfId="0" applyNumberFormat="1" applyFont="1" applyBorder="1" applyAlignment="1" applyProtection="1">
      <protection locked="0"/>
    </xf>
    <xf numFmtId="0" fontId="8" fillId="0" borderId="10" xfId="4" applyFill="1" applyBorder="1" applyAlignment="1" applyProtection="1"/>
    <xf numFmtId="0" fontId="19" fillId="43" borderId="0" xfId="4" applyFont="1" applyFill="1" applyAlignment="1" applyProtection="1">
      <alignment vertical="center"/>
      <protection locked="0"/>
    </xf>
    <xf numFmtId="0" fontId="19" fillId="43" borderId="0" xfId="4" applyNumberFormat="1" applyFont="1" applyFill="1" applyAlignment="1" applyProtection="1">
      <alignment vertical="center"/>
      <protection locked="0"/>
    </xf>
    <xf numFmtId="0" fontId="19" fillId="43" borderId="0" xfId="4" applyFont="1" applyFill="1" applyAlignment="1" applyProtection="1">
      <alignment horizontal="right" vertical="center"/>
      <protection locked="0"/>
    </xf>
    <xf numFmtId="0" fontId="19" fillId="43" borderId="0" xfId="4" applyNumberFormat="1" applyFont="1" applyFill="1" applyAlignment="1" applyProtection="1">
      <alignment horizontal="right" vertical="center"/>
      <protection locked="0"/>
    </xf>
    <xf numFmtId="9" fontId="19" fillId="43" borderId="0" xfId="4" applyNumberFormat="1" applyFont="1" applyFill="1" applyAlignment="1" applyProtection="1">
      <alignment vertical="center"/>
      <protection locked="0"/>
    </xf>
    <xf numFmtId="0" fontId="15" fillId="44" borderId="11" xfId="4" applyFont="1" applyFill="1" applyBorder="1" applyAlignment="1" applyProtection="1">
      <alignment horizontal="left" vertical="top" wrapText="1"/>
      <protection locked="0"/>
    </xf>
    <xf numFmtId="0" fontId="15" fillId="44" borderId="11" xfId="4" applyFont="1" applyFill="1" applyBorder="1" applyAlignment="1" applyProtection="1">
      <alignment horizontal="center" vertical="top" wrapText="1"/>
      <protection locked="0"/>
    </xf>
    <xf numFmtId="0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166" fontId="15" fillId="44" borderId="12" xfId="4" applyNumberFormat="1" applyFont="1" applyFill="1" applyBorder="1" applyAlignment="1" applyProtection="1">
      <alignment horizontal="center" vertical="top" wrapText="1"/>
      <protection locked="0"/>
    </xf>
    <xf numFmtId="0" fontId="15" fillId="44" borderId="12" xfId="4" applyNumberFormat="1" applyFont="1" applyFill="1" applyBorder="1" applyAlignment="1" applyProtection="1">
      <alignment horizontal="center" vertical="top" wrapText="1"/>
      <protection locked="0"/>
    </xf>
    <xf numFmtId="166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9" fontId="15" fillId="44" borderId="11" xfId="4" applyNumberFormat="1" applyFont="1" applyFill="1" applyBorder="1" applyAlignment="1" applyProtection="1">
      <alignment horizontal="center" vertical="top" wrapText="1"/>
      <protection locked="0"/>
    </xf>
    <xf numFmtId="9" fontId="15" fillId="44" borderId="10" xfId="4" applyNumberFormat="1" applyFont="1" applyFill="1" applyBorder="1" applyAlignment="1" applyProtection="1">
      <alignment horizontal="center" vertical="top" wrapText="1"/>
      <protection locked="0"/>
    </xf>
    <xf numFmtId="0" fontId="33" fillId="0" borderId="0" xfId="0" applyFont="1"/>
    <xf numFmtId="0" fontId="16" fillId="0" borderId="13" xfId="0" applyFont="1" applyBorder="1" applyAlignment="1" applyProtection="1">
      <protection locked="0"/>
    </xf>
    <xf numFmtId="9" fontId="15" fillId="44" borderId="13" xfId="4" applyNumberFormat="1" applyFont="1" applyFill="1" applyBorder="1" applyAlignment="1" applyProtection="1">
      <alignment horizontal="center" vertical="top" wrapText="1"/>
      <protection locked="0"/>
    </xf>
    <xf numFmtId="0" fontId="34" fillId="8" borderId="10" xfId="0" applyFont="1" applyFill="1" applyBorder="1" applyAlignment="1">
      <alignment horizontal="left" vertical="center"/>
    </xf>
    <xf numFmtId="0" fontId="34" fillId="36" borderId="10" xfId="0" applyFont="1" applyFill="1" applyBorder="1" applyAlignment="1">
      <alignment horizontal="left" vertical="center"/>
    </xf>
    <xf numFmtId="0" fontId="34" fillId="46" borderId="14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45" borderId="14" xfId="0" applyFont="1" applyFill="1" applyBorder="1" applyAlignment="1">
      <alignment horizontal="center" vertical="center"/>
    </xf>
    <xf numFmtId="0" fontId="27" fillId="46" borderId="0" xfId="0" applyFont="1" applyFill="1" applyBorder="1" applyAlignment="1"/>
    <xf numFmtId="14" fontId="32" fillId="43" borderId="0" xfId="0" applyNumberFormat="1" applyFont="1" applyFill="1"/>
    <xf numFmtId="14" fontId="0" fillId="0" borderId="0" xfId="0" applyNumberFormat="1"/>
    <xf numFmtId="49" fontId="11" fillId="0" borderId="0" xfId="4" applyNumberFormat="1" applyFont="1" applyFill="1" applyBorder="1" applyAlignment="1" applyProtection="1">
      <alignment horizontal="left" vertical="top"/>
    </xf>
    <xf numFmtId="49" fontId="19" fillId="43" borderId="0" xfId="4" applyNumberFormat="1" applyFont="1" applyFill="1" applyAlignment="1" applyProtection="1">
      <alignment horizontal="left" vertical="center"/>
      <protection locked="0"/>
    </xf>
    <xf numFmtId="49" fontId="16" fillId="3" borderId="10" xfId="4" applyNumberFormat="1" applyFont="1" applyFill="1" applyBorder="1" applyAlignment="1" applyProtection="1">
      <alignment horizontal="left" vertical="center"/>
      <protection locked="0"/>
    </xf>
    <xf numFmtId="49" fontId="18" fillId="0" borderId="10" xfId="0" applyNumberFormat="1" applyFont="1" applyBorder="1" applyAlignment="1" applyProtection="1">
      <alignment horizontal="left"/>
    </xf>
    <xf numFmtId="49" fontId="15" fillId="44" borderId="11" xfId="4" applyNumberFormat="1" applyFont="1" applyFill="1" applyBorder="1" applyAlignment="1" applyProtection="1">
      <alignment horizontal="left" vertical="top" wrapText="1"/>
    </xf>
    <xf numFmtId="49" fontId="11" fillId="0" borderId="0" xfId="4" applyNumberFormat="1" applyFont="1" applyFill="1" applyBorder="1" applyAlignment="1" applyProtection="1">
      <alignment horizontal="left" vertical="top" wrapText="1"/>
      <protection locked="0"/>
    </xf>
    <xf numFmtId="49" fontId="0" fillId="0" borderId="0" xfId="0" applyNumberFormat="1" applyProtection="1">
      <protection locked="0"/>
    </xf>
    <xf numFmtId="0" fontId="0" fillId="0" borderId="15" xfId="0" applyBorder="1"/>
    <xf numFmtId="49" fontId="11" fillId="0" borderId="15" xfId="4" applyNumberFormat="1" applyFont="1" applyFill="1" applyBorder="1" applyAlignment="1" applyProtection="1">
      <alignment horizontal="left" vertical="top" wrapText="1"/>
      <protection locked="0"/>
    </xf>
    <xf numFmtId="0" fontId="11" fillId="0" borderId="15" xfId="4" applyFont="1" applyFill="1" applyBorder="1" applyAlignment="1" applyProtection="1">
      <alignment vertical="top" wrapText="1"/>
      <protection locked="0"/>
    </xf>
    <xf numFmtId="167" fontId="11" fillId="0" borderId="15" xfId="4" applyNumberFormat="1" applyFont="1" applyFill="1" applyBorder="1" applyAlignment="1" applyProtection="1">
      <alignment vertical="top" wrapText="1"/>
      <protection locked="0"/>
    </xf>
    <xf numFmtId="164" fontId="11" fillId="0" borderId="15" xfId="4" applyNumberFormat="1" applyFont="1" applyFill="1" applyBorder="1" applyAlignment="1" applyProtection="1">
      <alignment vertical="top" wrapText="1"/>
      <protection locked="0"/>
    </xf>
    <xf numFmtId="164" fontId="11" fillId="0" borderId="15" xfId="4" applyNumberFormat="1" applyFont="1" applyFill="1" applyBorder="1" applyAlignment="1" applyProtection="1">
      <alignment horizontal="right" vertical="top" wrapText="1"/>
      <protection locked="0"/>
    </xf>
    <xf numFmtId="3" fontId="11" fillId="0" borderId="15" xfId="4" applyNumberFormat="1" applyFont="1" applyFill="1" applyBorder="1" applyAlignment="1" applyProtection="1">
      <alignment horizontal="right" vertical="top" wrapText="1"/>
      <protection locked="0"/>
    </xf>
    <xf numFmtId="166" fontId="11" fillId="0" borderId="15" xfId="4" applyNumberFormat="1" applyFont="1" applyFill="1" applyBorder="1" applyAlignment="1" applyProtection="1">
      <alignment horizontal="right" vertical="top" wrapText="1"/>
      <protection locked="0"/>
    </xf>
    <xf numFmtId="9" fontId="9" fillId="0" borderId="15" xfId="3" applyNumberFormat="1" applyFont="1" applyFill="1" applyBorder="1" applyAlignment="1" applyProtection="1">
      <alignment horizontal="center" vertical="top" wrapText="1"/>
      <protection locked="0"/>
    </xf>
    <xf numFmtId="168" fontId="9" fillId="0" borderId="15" xfId="3" applyNumberFormat="1" applyFont="1" applyFill="1" applyBorder="1" applyAlignment="1" applyProtection="1">
      <alignment horizontal="right" vertical="top" wrapText="1"/>
      <protection locked="0"/>
    </xf>
    <xf numFmtId="9" fontId="9" fillId="0" borderId="15" xfId="3" applyFont="1" applyFill="1" applyBorder="1" applyAlignment="1" applyProtection="1">
      <alignment horizontal="center" vertical="top" wrapText="1"/>
      <protection locked="0"/>
    </xf>
    <xf numFmtId="9" fontId="9" fillId="13" borderId="15" xfId="3" applyFont="1" applyFill="1" applyBorder="1" applyAlignment="1" applyProtection="1">
      <alignment horizontal="center" vertical="top" wrapText="1"/>
      <protection locked="0"/>
    </xf>
    <xf numFmtId="9" fontId="9" fillId="2" borderId="15" xfId="3" applyFont="1" applyFill="1" applyBorder="1" applyAlignment="1" applyProtection="1">
      <alignment horizontal="center" vertical="top" wrapText="1"/>
      <protection locked="0"/>
    </xf>
    <xf numFmtId="0" fontId="0" fillId="42" borderId="15" xfId="0" applyFill="1" applyBorder="1" applyProtection="1">
      <protection locked="0"/>
    </xf>
    <xf numFmtId="0" fontId="0" fillId="41" borderId="15" xfId="0" applyFill="1" applyBorder="1" applyProtection="1">
      <protection locked="0"/>
    </xf>
    <xf numFmtId="0" fontId="35" fillId="0" borderId="10" xfId="0" applyFont="1" applyBorder="1"/>
    <xf numFmtId="49" fontId="36" fillId="0" borderId="10" xfId="4" applyNumberFormat="1" applyFont="1" applyFill="1" applyBorder="1" applyAlignment="1" applyProtection="1">
      <alignment horizontal="left" vertical="top" wrapText="1"/>
      <protection locked="0"/>
    </xf>
    <xf numFmtId="0" fontId="36" fillId="0" borderId="10" xfId="4" applyFont="1" applyFill="1" applyBorder="1" applyAlignment="1" applyProtection="1">
      <alignment vertical="top" wrapText="1"/>
      <protection locked="0"/>
    </xf>
    <xf numFmtId="167" fontId="36" fillId="0" borderId="10" xfId="4" applyNumberFormat="1" applyFont="1" applyFill="1" applyBorder="1" applyAlignment="1" applyProtection="1">
      <alignment vertical="top" wrapText="1"/>
      <protection locked="0"/>
    </xf>
    <xf numFmtId="164" fontId="36" fillId="0" borderId="10" xfId="4" applyNumberFormat="1" applyFont="1" applyFill="1" applyBorder="1" applyAlignment="1" applyProtection="1">
      <alignment horizontal="right" vertical="top" wrapText="1"/>
      <protection locked="0"/>
    </xf>
    <xf numFmtId="3" fontId="36" fillId="0" borderId="10" xfId="4" applyNumberFormat="1" applyFont="1" applyFill="1" applyBorder="1" applyAlignment="1" applyProtection="1">
      <alignment horizontal="right" vertical="top" wrapText="1"/>
      <protection locked="0"/>
    </xf>
    <xf numFmtId="166" fontId="36" fillId="0" borderId="10" xfId="4" applyNumberFormat="1" applyFont="1" applyFill="1" applyBorder="1" applyAlignment="1" applyProtection="1">
      <alignment horizontal="right" vertical="top" wrapText="1"/>
      <protection locked="0"/>
    </xf>
    <xf numFmtId="9" fontId="36" fillId="0" borderId="10" xfId="3" applyNumberFormat="1" applyFont="1" applyFill="1" applyBorder="1" applyAlignment="1" applyProtection="1">
      <alignment horizontal="center" vertical="top" wrapText="1"/>
      <protection locked="0"/>
    </xf>
    <xf numFmtId="168" fontId="36" fillId="0" borderId="10" xfId="3" applyNumberFormat="1" applyFont="1" applyFill="1" applyBorder="1" applyAlignment="1" applyProtection="1">
      <alignment horizontal="right" vertical="top" wrapText="1"/>
      <protection locked="0"/>
    </xf>
    <xf numFmtId="9" fontId="36" fillId="0" borderId="10" xfId="3" applyFont="1" applyFill="1" applyBorder="1" applyAlignment="1" applyProtection="1">
      <alignment horizontal="center" vertical="top" wrapText="1"/>
      <protection locked="0"/>
    </xf>
    <xf numFmtId="0" fontId="35" fillId="42" borderId="10" xfId="0" applyFont="1" applyFill="1" applyBorder="1" applyProtection="1">
      <protection locked="0"/>
    </xf>
    <xf numFmtId="0" fontId="35" fillId="41" borderId="10" xfId="0" applyFont="1" applyFill="1" applyBorder="1" applyProtection="1">
      <protection locked="0"/>
    </xf>
    <xf numFmtId="9" fontId="36" fillId="13" borderId="10" xfId="3" applyFont="1" applyFill="1" applyBorder="1" applyAlignment="1" applyProtection="1">
      <alignment horizontal="center" vertical="top" wrapText="1"/>
      <protection locked="0"/>
    </xf>
    <xf numFmtId="9" fontId="36" fillId="2" borderId="10" xfId="3" applyFont="1" applyFill="1" applyBorder="1" applyAlignment="1" applyProtection="1">
      <alignment horizontal="center" vertical="top" wrapText="1"/>
      <protection locked="0"/>
    </xf>
    <xf numFmtId="0" fontId="35" fillId="0" borderId="0" xfId="0" applyFont="1"/>
    <xf numFmtId="0" fontId="35" fillId="0" borderId="10" xfId="0" applyFont="1" applyFill="1" applyBorder="1"/>
    <xf numFmtId="0" fontId="35" fillId="0" borderId="0" xfId="0" applyFont="1" applyFill="1"/>
    <xf numFmtId="0" fontId="35" fillId="0" borderId="15" xfId="0" applyFont="1" applyBorder="1"/>
    <xf numFmtId="49" fontId="36" fillId="0" borderId="15" xfId="4" applyNumberFormat="1" applyFont="1" applyFill="1" applyBorder="1" applyAlignment="1" applyProtection="1">
      <alignment horizontal="left" vertical="top" wrapText="1"/>
      <protection locked="0"/>
    </xf>
    <xf numFmtId="0" fontId="36" fillId="0" borderId="15" xfId="4" applyFont="1" applyFill="1" applyBorder="1" applyAlignment="1" applyProtection="1">
      <alignment vertical="top" wrapText="1"/>
      <protection locked="0"/>
    </xf>
    <xf numFmtId="167" fontId="36" fillId="0" borderId="15" xfId="4" applyNumberFormat="1" applyFont="1" applyFill="1" applyBorder="1" applyAlignment="1" applyProtection="1">
      <alignment vertical="top" wrapText="1"/>
      <protection locked="0"/>
    </xf>
    <xf numFmtId="164" fontId="36" fillId="0" borderId="15" xfId="4" applyNumberFormat="1" applyFont="1" applyFill="1" applyBorder="1" applyAlignment="1" applyProtection="1">
      <alignment horizontal="right" vertical="top" wrapText="1"/>
      <protection locked="0"/>
    </xf>
    <xf numFmtId="3" fontId="36" fillId="0" borderId="15" xfId="4" applyNumberFormat="1" applyFont="1" applyFill="1" applyBorder="1" applyAlignment="1" applyProtection="1">
      <alignment horizontal="right" vertical="top" wrapText="1"/>
      <protection locked="0"/>
    </xf>
    <xf numFmtId="166" fontId="36" fillId="0" borderId="15" xfId="4" applyNumberFormat="1" applyFont="1" applyFill="1" applyBorder="1" applyAlignment="1" applyProtection="1">
      <alignment horizontal="right" vertical="top" wrapText="1"/>
      <protection locked="0"/>
    </xf>
    <xf numFmtId="9" fontId="36" fillId="0" borderId="15" xfId="3" applyNumberFormat="1" applyFont="1" applyFill="1" applyBorder="1" applyAlignment="1" applyProtection="1">
      <alignment horizontal="center" vertical="top" wrapText="1"/>
      <protection locked="0"/>
    </xf>
    <xf numFmtId="168" fontId="36" fillId="0" borderId="15" xfId="3" applyNumberFormat="1" applyFont="1" applyFill="1" applyBorder="1" applyAlignment="1" applyProtection="1">
      <alignment horizontal="right" vertical="top" wrapText="1"/>
      <protection locked="0"/>
    </xf>
    <xf numFmtId="9" fontId="36" fillId="0" borderId="15" xfId="3" applyFont="1" applyFill="1" applyBorder="1" applyAlignment="1" applyProtection="1">
      <alignment horizontal="center" vertical="top" wrapText="1"/>
      <protection locked="0"/>
    </xf>
    <xf numFmtId="0" fontId="35" fillId="42" borderId="15" xfId="0" applyFont="1" applyFill="1" applyBorder="1" applyProtection="1">
      <protection locked="0"/>
    </xf>
    <xf numFmtId="0" fontId="35" fillId="41" borderId="15" xfId="0" applyFont="1" applyFill="1" applyBorder="1" applyProtection="1">
      <protection locked="0"/>
    </xf>
    <xf numFmtId="9" fontId="36" fillId="13" borderId="15" xfId="3" applyFont="1" applyFill="1" applyBorder="1" applyAlignment="1" applyProtection="1">
      <alignment horizontal="center" vertical="top" wrapText="1"/>
      <protection locked="0"/>
    </xf>
    <xf numFmtId="9" fontId="36" fillId="2" borderId="15" xfId="3" applyFont="1" applyFill="1" applyBorder="1" applyAlignment="1" applyProtection="1">
      <alignment horizontal="center" vertical="top" wrapText="1"/>
      <protection locked="0"/>
    </xf>
    <xf numFmtId="0" fontId="35" fillId="0" borderId="15" xfId="0" applyFont="1" applyFill="1" applyBorder="1"/>
    <xf numFmtId="0" fontId="21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5" fillId="4" borderId="0" xfId="2" applyFont="1" applyFill="1" applyAlignment="1">
      <alignment horizontal="center" vertical="center"/>
    </xf>
    <xf numFmtId="0" fontId="3" fillId="0" borderId="0" xfId="2"/>
    <xf numFmtId="0" fontId="0" fillId="0" borderId="0" xfId="0"/>
  </cellXfs>
  <cellStyles count="201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Heading 1" xfId="1" builtinId="16"/>
    <cellStyle name="Hyperlink" xfId="2" builtinId="8"/>
    <cellStyle name="Normal" xfId="0" builtinId="0"/>
    <cellStyle name="Normal 3" xfId="4"/>
    <cellStyle name="Percent 2" xfId="3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6DD9FF"/>
      <color rgb="FFA8E7FE"/>
      <color rgb="FFFFC000"/>
      <color rgb="FFA6F020"/>
      <color rgb="FFC1EFFF"/>
      <color rgb="FF89E0FF"/>
      <color rgb="FFB9EDFF"/>
      <color rgb="FFA7E8FF"/>
      <color rgb="FFABE9FF"/>
      <color rgb="FFE5FB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6304"/>
        <c:axId val="747497480"/>
      </c:barChart>
      <c:catAx>
        <c:axId val="747496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497480"/>
        <c:crosses val="autoZero"/>
        <c:auto val="1"/>
        <c:lblAlgn val="ctr"/>
        <c:lblOffset val="100"/>
        <c:noMultiLvlLbl val="0"/>
      </c:catAx>
      <c:valAx>
        <c:axId val="74749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474963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747498264"/>
        <c:axId val="414926416"/>
      </c:barChart>
      <c:catAx>
        <c:axId val="747498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6416"/>
        <c:crosses val="autoZero"/>
        <c:auto val="1"/>
        <c:lblAlgn val="ctr"/>
        <c:lblOffset val="100"/>
        <c:noMultiLvlLbl val="0"/>
      </c:catAx>
      <c:valAx>
        <c:axId val="414926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47498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5632"/>
        <c:axId val="414923672"/>
      </c:barChart>
      <c:catAx>
        <c:axId val="414925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3672"/>
        <c:crosses val="autoZero"/>
        <c:auto val="1"/>
        <c:lblAlgn val="ctr"/>
        <c:lblOffset val="100"/>
        <c:noMultiLvlLbl val="0"/>
      </c:catAx>
      <c:valAx>
        <c:axId val="414923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49256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14929552"/>
        <c:axId val="414929944"/>
      </c:barChart>
      <c:catAx>
        <c:axId val="41492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29944"/>
        <c:crosses val="autoZero"/>
        <c:auto val="1"/>
        <c:lblAlgn val="ctr"/>
        <c:lblOffset val="100"/>
        <c:noMultiLvlLbl val="0"/>
      </c:catAx>
      <c:valAx>
        <c:axId val="414929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149295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ganttexcel.com/?utm_source=xlclogo&amp;utm_medium=none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142875</xdr:rowOff>
        </xdr:from>
        <xdr:to>
          <xdr:col>13</xdr:col>
          <xdr:colOff>257175</xdr:colOff>
          <xdr:row>7</xdr:row>
          <xdr:rowOff>161925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23825"/>
          <a:ext cx="1285116" cy="600075"/>
        </a:xfrm>
        <a:prstGeom prst="rect">
          <a:avLst/>
        </a:prstGeom>
      </xdr:spPr>
    </xdr:pic>
    <xdr:clientData/>
  </xdr:oneCellAnchor>
  <xdr:twoCellAnchor editAs="oneCell">
    <xdr:from>
      <xdr:col>3</xdr:col>
      <xdr:colOff>0</xdr:colOff>
      <xdr:row>13</xdr:row>
      <xdr:rowOff>0</xdr:rowOff>
    </xdr:from>
    <xdr:to>
      <xdr:col>19</xdr:col>
      <xdr:colOff>352425</xdr:colOff>
      <xdr:row>18</xdr:row>
      <xdr:rowOff>128667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2152650"/>
          <a:ext cx="10058400" cy="10811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6350</xdr:colOff>
      <xdr:row>9</xdr:row>
      <xdr:rowOff>34004</xdr:rowOff>
    </xdr:from>
    <xdr:to>
      <xdr:col>36</xdr:col>
      <xdr:colOff>0</xdr:colOff>
      <xdr:row>9</xdr:row>
      <xdr:rowOff>166021</xdr:rowOff>
    </xdr:to>
    <xdr:sp macro="" textlink="">
      <xdr:nvSpPr>
        <xdr:cNvPr id="53" name="S_E_1"/>
        <xdr:cNvSpPr/>
      </xdr:nvSpPr>
      <xdr:spPr>
        <a:xfrm>
          <a:off x="7797800" y="1015079"/>
          <a:ext cx="898525" cy="132017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6350</xdr:colOff>
      <xdr:row>9</xdr:row>
      <xdr:rowOff>34004</xdr:rowOff>
    </xdr:from>
    <xdr:to>
      <xdr:col>36</xdr:col>
      <xdr:colOff>0</xdr:colOff>
      <xdr:row>9</xdr:row>
      <xdr:rowOff>166021</xdr:rowOff>
    </xdr:to>
    <xdr:sp macro="" textlink="">
      <xdr:nvSpPr>
        <xdr:cNvPr id="54" name="S_C_1"/>
        <xdr:cNvSpPr/>
      </xdr:nvSpPr>
      <xdr:spPr>
        <a:xfrm>
          <a:off x="7797800" y="1015079"/>
          <a:ext cx="898525" cy="132017"/>
        </a:xfrm>
        <a:prstGeom prst="rect">
          <a:avLst/>
        </a:prstGeom>
        <a:solidFill>
          <a:srgbClr val="6DD9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6350</xdr:colOff>
      <xdr:row>10</xdr:row>
      <xdr:rowOff>34004</xdr:rowOff>
    </xdr:from>
    <xdr:to>
      <xdr:col>37</xdr:col>
      <xdr:colOff>0</xdr:colOff>
      <xdr:row>10</xdr:row>
      <xdr:rowOff>166021</xdr:rowOff>
    </xdr:to>
    <xdr:sp macro="" textlink="">
      <xdr:nvSpPr>
        <xdr:cNvPr id="55" name="S_E_2"/>
        <xdr:cNvSpPr/>
      </xdr:nvSpPr>
      <xdr:spPr>
        <a:xfrm>
          <a:off x="8521700" y="1215104"/>
          <a:ext cx="355600" cy="132017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6350</xdr:colOff>
      <xdr:row>10</xdr:row>
      <xdr:rowOff>34004</xdr:rowOff>
    </xdr:from>
    <xdr:to>
      <xdr:col>37</xdr:col>
      <xdr:colOff>0</xdr:colOff>
      <xdr:row>10</xdr:row>
      <xdr:rowOff>166021</xdr:rowOff>
    </xdr:to>
    <xdr:sp macro="" textlink="">
      <xdr:nvSpPr>
        <xdr:cNvPr id="56" name="S_C_2"/>
        <xdr:cNvSpPr/>
      </xdr:nvSpPr>
      <xdr:spPr>
        <a:xfrm>
          <a:off x="8521700" y="1215104"/>
          <a:ext cx="355600" cy="132017"/>
        </a:xfrm>
        <a:prstGeom prst="rect">
          <a:avLst/>
        </a:prstGeom>
        <a:solidFill>
          <a:srgbClr val="6DD9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6350</xdr:colOff>
      <xdr:row>11</xdr:row>
      <xdr:rowOff>34004</xdr:rowOff>
    </xdr:from>
    <xdr:to>
      <xdr:col>37</xdr:col>
      <xdr:colOff>0</xdr:colOff>
      <xdr:row>11</xdr:row>
      <xdr:rowOff>166021</xdr:rowOff>
    </xdr:to>
    <xdr:sp macro="" textlink="">
      <xdr:nvSpPr>
        <xdr:cNvPr id="57" name="S_E_3"/>
        <xdr:cNvSpPr/>
      </xdr:nvSpPr>
      <xdr:spPr>
        <a:xfrm>
          <a:off x="8702675" y="1415129"/>
          <a:ext cx="174625" cy="132017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6350</xdr:colOff>
      <xdr:row>11</xdr:row>
      <xdr:rowOff>34004</xdr:rowOff>
    </xdr:from>
    <xdr:to>
      <xdr:col>36</xdr:col>
      <xdr:colOff>93663</xdr:colOff>
      <xdr:row>11</xdr:row>
      <xdr:rowOff>166021</xdr:rowOff>
    </xdr:to>
    <xdr:sp macro="" textlink="">
      <xdr:nvSpPr>
        <xdr:cNvPr id="58" name="S_C_3"/>
        <xdr:cNvSpPr/>
      </xdr:nvSpPr>
      <xdr:spPr>
        <a:xfrm>
          <a:off x="8702675" y="1415129"/>
          <a:ext cx="87313" cy="132017"/>
        </a:xfrm>
        <a:prstGeom prst="rect">
          <a:avLst/>
        </a:prstGeom>
        <a:solidFill>
          <a:srgbClr val="6DD9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6350</xdr:colOff>
      <xdr:row>12</xdr:row>
      <xdr:rowOff>34004</xdr:rowOff>
    </xdr:from>
    <xdr:to>
      <xdr:col>38</xdr:col>
      <xdr:colOff>0</xdr:colOff>
      <xdr:row>12</xdr:row>
      <xdr:rowOff>166021</xdr:rowOff>
    </xdr:to>
    <xdr:sp macro="" textlink="">
      <xdr:nvSpPr>
        <xdr:cNvPr id="59" name="S_E_4"/>
        <xdr:cNvSpPr/>
      </xdr:nvSpPr>
      <xdr:spPr>
        <a:xfrm>
          <a:off x="8702675" y="1615154"/>
          <a:ext cx="355600" cy="132017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6350</xdr:colOff>
      <xdr:row>12</xdr:row>
      <xdr:rowOff>34004</xdr:rowOff>
    </xdr:from>
    <xdr:to>
      <xdr:col>37</xdr:col>
      <xdr:colOff>74295</xdr:colOff>
      <xdr:row>12</xdr:row>
      <xdr:rowOff>166021</xdr:rowOff>
    </xdr:to>
    <xdr:sp macro="" textlink="">
      <xdr:nvSpPr>
        <xdr:cNvPr id="60" name="S_C_4"/>
        <xdr:cNvSpPr/>
      </xdr:nvSpPr>
      <xdr:spPr>
        <a:xfrm>
          <a:off x="8702675" y="1615154"/>
          <a:ext cx="248920" cy="132017"/>
        </a:xfrm>
        <a:prstGeom prst="rect">
          <a:avLst/>
        </a:prstGeom>
        <a:solidFill>
          <a:srgbClr val="6DD9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6350</xdr:colOff>
      <xdr:row>13</xdr:row>
      <xdr:rowOff>34004</xdr:rowOff>
    </xdr:from>
    <xdr:to>
      <xdr:col>40</xdr:col>
      <xdr:colOff>0</xdr:colOff>
      <xdr:row>13</xdr:row>
      <xdr:rowOff>166021</xdr:rowOff>
    </xdr:to>
    <xdr:sp macro="" textlink="">
      <xdr:nvSpPr>
        <xdr:cNvPr id="61" name="S_E_5"/>
        <xdr:cNvSpPr/>
      </xdr:nvSpPr>
      <xdr:spPr>
        <a:xfrm>
          <a:off x="9064625" y="1815179"/>
          <a:ext cx="355600" cy="132017"/>
        </a:xfrm>
        <a:prstGeom prst="rect">
          <a:avLst/>
        </a:prstGeom>
        <a:solidFill>
          <a:srgbClr val="A8E7F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0</xdr:colOff>
      <xdr:row>9</xdr:row>
      <xdr:rowOff>0</xdr:rowOff>
    </xdr:from>
    <xdr:to>
      <xdr:col>36</xdr:col>
      <xdr:colOff>1270</xdr:colOff>
      <xdr:row>14</xdr:row>
      <xdr:rowOff>0</xdr:rowOff>
    </xdr:to>
    <xdr:sp macro="" textlink="">
      <xdr:nvSpPr>
        <xdr:cNvPr id="62" name="S_Today_LineLeft"/>
        <xdr:cNvSpPr/>
      </xdr:nvSpPr>
      <xdr:spPr>
        <a:xfrm>
          <a:off x="8696325" y="981075"/>
          <a:ext cx="1270" cy="1000125"/>
        </a:xfrm>
        <a:prstGeom prst="rect">
          <a:avLst/>
        </a:prstGeom>
        <a:ln w="127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37</xdr:col>
      <xdr:colOff>1270</xdr:colOff>
      <xdr:row>14</xdr:row>
      <xdr:rowOff>0</xdr:rowOff>
    </xdr:to>
    <xdr:sp macro="" textlink="">
      <xdr:nvSpPr>
        <xdr:cNvPr id="63" name="S_Today_LineRight"/>
        <xdr:cNvSpPr/>
      </xdr:nvSpPr>
      <xdr:spPr>
        <a:xfrm>
          <a:off x="8877300" y="981075"/>
          <a:ext cx="1270" cy="1000125"/>
        </a:xfrm>
        <a:prstGeom prst="rect">
          <a:avLst/>
        </a:prstGeom>
        <a:ln w="127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142875</xdr:rowOff>
        </xdr:from>
        <xdr:to>
          <xdr:col>13</xdr:col>
          <xdr:colOff>257175</xdr:colOff>
          <xdr:row>7</xdr:row>
          <xdr:rowOff>161925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4d" refreshedDate="43469.404494907409" missingItemsLimit="0" createdVersion="5" refreshedVersion="6" minRefreshableVersion="3" recordCount="1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2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0" numFmtId="9"/>
  </dataFields>
  <formats count="1">
    <format dxfId="33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4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0" numFmtId="3"/>
  </dataFields>
  <formats count="1">
    <format dxfId="35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3" totalsRowShown="0" headerRowDxfId="31" dataDxfId="30" tableBorderDxfId="29" headerRowCellStyle="Normal 3" dataCellStyle="Percent 2">
  <autoFilter ref="AD2:BF3"/>
  <tableColumns count="29">
    <tableColumn id="1" name="tType" dataDxfId="28"/>
    <tableColumn id="2" name="WBS" dataDxfId="27" dataCellStyle="Normal 3"/>
    <tableColumn id="3" name="Task" dataDxfId="26" dataCellStyle="Normal 3"/>
    <tableColumn id="4" name="TaskLead" dataDxfId="25" dataCellStyle="Normal 3"/>
    <tableColumn id="18" name="TaskLeadCost" dataDxfId="24" dataCellStyle="Normal 3"/>
    <tableColumn id="5" name="BSD" dataDxfId="23" dataCellStyle="Normal 3"/>
    <tableColumn id="6" name="BED" dataDxfId="22" dataCellStyle="Normal 3"/>
    <tableColumn id="7" name="BD" dataDxfId="21" dataCellStyle="Normal 3"/>
    <tableColumn id="8" name="ESD" dataDxfId="20" dataCellStyle="Normal 3"/>
    <tableColumn id="9" name="EED" dataDxfId="19" dataCellStyle="Normal 3"/>
    <tableColumn id="10" name="ED" dataDxfId="18" dataCellStyle="Normal 3"/>
    <tableColumn id="11" name="PercentageCompleted" dataDxfId="17" dataCellStyle="Normal 3"/>
    <tableColumn id="12" name="ASD" dataDxfId="16" dataCellStyle="Normal 3"/>
    <tableColumn id="13" name="AED" dataDxfId="15" dataCellStyle="Normal 3"/>
    <tableColumn id="14" name="AD" dataDxfId="14" dataCellStyle="Percent 2"/>
    <tableColumn id="15" name="BCS" dataDxfId="13" dataCellStyle="Percent 2"/>
    <tableColumn id="16" name="ECS" dataDxfId="12" dataCellStyle="Percent 2"/>
    <tableColumn id="17" name="ACS" dataDxfId="11" dataCellStyle="Percent 2"/>
    <tableColumn id="19" name="Notes" dataDxfId="10" dataCellStyle="Percent 2"/>
    <tableColumn id="20" name="CC1" dataDxfId="9" dataCellStyle="Percent 2"/>
    <tableColumn id="21" name="CC2" dataDxfId="8" dataCellStyle="Percent 2"/>
    <tableColumn id="22" name="CC3" dataDxfId="7" dataCellStyle="Percent 2"/>
    <tableColumn id="23" name="CC4" dataDxfId="6" dataCellStyle="Percent 2"/>
    <tableColumn id="24" name="CC5" dataDxfId="5" dataCellStyle="Percent 2"/>
    <tableColumn id="25" name="CC6" dataDxfId="4" dataCellStyle="Percent 2"/>
    <tableColumn id="26" name="CC7" dataDxfId="3" dataCellStyle="Percent 2"/>
    <tableColumn id="27" name="CC8" dataDxfId="2" dataCellStyle="Percent 2"/>
    <tableColumn id="28" name="CC9" dataDxfId="1" dataCellStyle="Percent 2"/>
    <tableColumn id="29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d&amp;utm_medium=131013132385851390628494864013771059744140" TargetMode="External"/><Relationship Id="rId2" Type="http://schemas.openxmlformats.org/officeDocument/2006/relationships/hyperlink" Target="https://www.ganttexcel.com/documentation/enable-macros/?utm_source=xlcem&amp;utm_medium=131013132385851390628494864013771059744140" TargetMode="External"/><Relationship Id="rId1" Type="http://schemas.openxmlformats.org/officeDocument/2006/relationships/hyperlink" Target="https://ganttxl.com/documentation/gantt-excel-quick-start-guide/?utm_source=xl&amp;utm_medium=cpc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G19" sqref="G19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28515625" customWidth="1"/>
    <col min="6" max="6" width="13.28515625" customWidth="1"/>
    <col min="7" max="7" width="2.7109375" style="49" customWidth="1"/>
    <col min="8" max="8" width="0.140625" hidden="1" customWidth="1"/>
    <col min="9" max="21" width="0.140625" style="7" hidden="1" customWidth="1"/>
    <col min="22" max="27" width="3.7109375" style="7" hidden="1" customWidth="1"/>
    <col min="28" max="29" width="0.140625" style="7" hidden="1" customWidth="1"/>
    <col min="30" max="40" width="16" style="8" hidden="1" customWidth="1"/>
    <col min="41" max="41" width="16" style="10" hidden="1" customWidth="1"/>
    <col min="42" max="48" width="16" style="8" hidden="1" customWidth="1"/>
    <col min="49" max="58" width="16" style="9" hidden="1" customWidth="1"/>
    <col min="59" max="60" width="0.140625" style="8" hidden="1" customWidth="1"/>
    <col min="61" max="16384" width="0.140625" style="7" hidden="1"/>
  </cols>
  <sheetData>
    <row r="1" spans="1:77" ht="6" customHeight="1" x14ac:dyDescent="0.25">
      <c r="A1" s="49"/>
      <c r="F1" s="49"/>
      <c r="H1" s="49"/>
      <c r="Y1" s="12"/>
      <c r="Z1" s="12"/>
      <c r="AA1" s="12"/>
      <c r="AB1" s="12"/>
      <c r="AC1" s="12"/>
    </row>
    <row r="2" spans="1:77" ht="20.25" thickBot="1" x14ac:dyDescent="0.3">
      <c r="A2" s="2"/>
      <c r="B2" s="300" t="s">
        <v>52</v>
      </c>
      <c r="C2" s="300"/>
      <c r="D2" s="301"/>
      <c r="E2" s="301"/>
      <c r="F2" s="48"/>
      <c r="G2" s="47"/>
      <c r="V2" s="101" t="s">
        <v>51</v>
      </c>
      <c r="W2" s="101" t="s">
        <v>50</v>
      </c>
      <c r="X2" s="102" t="s">
        <v>20</v>
      </c>
      <c r="Y2" s="103"/>
      <c r="Z2" s="104" t="s">
        <v>49</v>
      </c>
      <c r="AA2" s="105"/>
      <c r="AB2" s="46"/>
      <c r="AC2" s="46"/>
      <c r="AD2" s="45" t="s">
        <v>21</v>
      </c>
      <c r="AE2" s="44" t="s">
        <v>48</v>
      </c>
      <c r="AF2" s="42" t="s">
        <v>47</v>
      </c>
      <c r="AG2" s="42" t="s">
        <v>46</v>
      </c>
      <c r="AH2" s="42" t="s">
        <v>45</v>
      </c>
      <c r="AI2" s="42" t="s">
        <v>44</v>
      </c>
      <c r="AJ2" s="43" t="s">
        <v>43</v>
      </c>
      <c r="AK2" s="42" t="s">
        <v>42</v>
      </c>
      <c r="AL2" s="43" t="s">
        <v>41</v>
      </c>
      <c r="AM2" s="43" t="s">
        <v>39</v>
      </c>
      <c r="AN2" s="42" t="s">
        <v>37</v>
      </c>
      <c r="AO2" s="42" t="s">
        <v>36</v>
      </c>
      <c r="AP2" s="43" t="s">
        <v>40</v>
      </c>
      <c r="AQ2" s="43" t="s">
        <v>38</v>
      </c>
      <c r="AR2" s="41" t="s">
        <v>35</v>
      </c>
      <c r="AS2" s="41" t="s">
        <v>34</v>
      </c>
      <c r="AT2" s="41" t="s">
        <v>33</v>
      </c>
      <c r="AU2" s="41" t="s">
        <v>32</v>
      </c>
      <c r="AV2" s="40" t="s">
        <v>31</v>
      </c>
      <c r="AW2" s="40" t="s">
        <v>153</v>
      </c>
      <c r="AX2" s="39" t="s">
        <v>30</v>
      </c>
      <c r="AY2" s="39" t="s">
        <v>29</v>
      </c>
      <c r="AZ2" s="39" t="s">
        <v>28</v>
      </c>
      <c r="BA2" s="39" t="s">
        <v>27</v>
      </c>
      <c r="BB2" s="39" t="s">
        <v>26</v>
      </c>
      <c r="BC2" s="39" t="s">
        <v>25</v>
      </c>
      <c r="BD2" s="39" t="s">
        <v>24</v>
      </c>
      <c r="BE2" s="39" t="s">
        <v>23</v>
      </c>
      <c r="BF2" s="39" t="s">
        <v>22</v>
      </c>
      <c r="BG2" s="38"/>
      <c r="BH2" s="38"/>
      <c r="BI2" s="38"/>
      <c r="BJ2" s="28" t="s">
        <v>21</v>
      </c>
      <c r="BK2" s="7" t="s">
        <v>143</v>
      </c>
      <c r="BN2" s="28" t="s">
        <v>21</v>
      </c>
      <c r="BO2" s="7" t="s">
        <v>143</v>
      </c>
      <c r="BQ2" s="28" t="s">
        <v>21</v>
      </c>
      <c r="BR2" s="7" t="s">
        <v>143</v>
      </c>
      <c r="BT2" s="28" t="s">
        <v>21</v>
      </c>
      <c r="BU2" s="7" t="s">
        <v>143</v>
      </c>
      <c r="BW2"/>
      <c r="BX2"/>
      <c r="BY2"/>
    </row>
    <row r="3" spans="1:77" ht="24" customHeight="1" thickTop="1" x14ac:dyDescent="0.25">
      <c r="A3" s="2"/>
      <c r="B3" s="98" t="s">
        <v>20</v>
      </c>
      <c r="C3" s="93"/>
      <c r="D3" s="99" t="s">
        <v>19</v>
      </c>
      <c r="G3" s="2"/>
      <c r="V3" s="101" t="s">
        <v>134</v>
      </c>
      <c r="W3" s="101" t="s">
        <v>134</v>
      </c>
      <c r="X3" s="106">
        <f>IFERROR((SUMIFS(#REF!,#REF!,"T")+SUMIFS(#REF!,#REF!,"C"))/(COUNTIFS(#REF!,"T")+COUNTIFS(#REF!,"C")),0)</f>
        <v>0</v>
      </c>
      <c r="Y3" s="107">
        <f>100%-X3</f>
        <v>1</v>
      </c>
      <c r="Z3" s="104"/>
      <c r="AA3" s="105"/>
      <c r="AB3" s="11"/>
      <c r="AC3" s="11"/>
      <c r="AD3" s="37" t="s">
        <v>141</v>
      </c>
      <c r="AE3" s="36" t="s">
        <v>138</v>
      </c>
      <c r="AF3" s="35" t="s">
        <v>139</v>
      </c>
      <c r="AG3" s="35"/>
      <c r="AH3" s="34"/>
      <c r="AI3" s="110"/>
      <c r="AJ3" s="111"/>
      <c r="AK3" s="112"/>
      <c r="AL3" s="111">
        <v>42614</v>
      </c>
      <c r="AM3" s="111">
        <v>42643</v>
      </c>
      <c r="AN3" s="112">
        <v>22</v>
      </c>
      <c r="AO3" s="33">
        <v>0</v>
      </c>
      <c r="AP3" s="111"/>
      <c r="AQ3" s="111"/>
      <c r="AR3" s="113"/>
      <c r="AS3" s="31">
        <v>0</v>
      </c>
      <c r="AT3" s="31">
        <v>0</v>
      </c>
      <c r="AU3" s="31"/>
      <c r="AV3" s="19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1"/>
      <c r="BH3" s="31"/>
      <c r="BI3" s="19"/>
      <c r="BJ3" s="30"/>
      <c r="BK3" s="29"/>
      <c r="BL3" s="29"/>
      <c r="BN3" s="30"/>
      <c r="BO3" s="29"/>
      <c r="BQ3" s="30"/>
      <c r="BR3" s="29"/>
      <c r="BT3" s="30"/>
      <c r="BU3" s="29"/>
      <c r="BW3"/>
      <c r="BX3"/>
      <c r="BY3"/>
    </row>
    <row r="4" spans="1:77" x14ac:dyDescent="0.25">
      <c r="A4" s="2"/>
      <c r="D4" s="90" t="s">
        <v>18</v>
      </c>
      <c r="E4" s="27" t="str">
        <f>IF(X3=0,"Planned",IF(X3=1,"Completed","In-Progress"))</f>
        <v>Planned</v>
      </c>
      <c r="F4" s="26"/>
      <c r="G4" s="2"/>
      <c r="V4" s="101"/>
      <c r="W4" s="101"/>
      <c r="X4" s="102"/>
      <c r="Y4" s="103"/>
      <c r="Z4" s="104"/>
      <c r="AA4" s="105"/>
      <c r="AB4" s="11"/>
      <c r="AC4" s="11"/>
      <c r="BI4" s="19"/>
      <c r="BJ4" s="28" t="s">
        <v>15</v>
      </c>
      <c r="BK4" s="7" t="s">
        <v>17</v>
      </c>
      <c r="BN4" s="28" t="s">
        <v>15</v>
      </c>
      <c r="BO4" s="7" t="s">
        <v>16</v>
      </c>
      <c r="BQ4" s="28" t="s">
        <v>15</v>
      </c>
      <c r="BR4" s="7" t="s">
        <v>16</v>
      </c>
      <c r="BT4" s="28" t="s">
        <v>15</v>
      </c>
      <c r="BU4" s="7" t="s">
        <v>14</v>
      </c>
      <c r="BW4"/>
      <c r="BX4"/>
      <c r="BY4"/>
    </row>
    <row r="5" spans="1:77" x14ac:dyDescent="0.25">
      <c r="A5" s="2"/>
      <c r="D5" s="15" t="s">
        <v>13</v>
      </c>
      <c r="E5" s="27"/>
      <c r="F5" s="26"/>
      <c r="G5" s="2"/>
      <c r="V5" s="101"/>
      <c r="W5" s="101"/>
      <c r="X5" s="102" t="s">
        <v>12</v>
      </c>
      <c r="Y5" s="103" t="s">
        <v>11</v>
      </c>
      <c r="Z5" s="104"/>
      <c r="AA5" s="105"/>
      <c r="AB5" s="11"/>
      <c r="AC5" s="11"/>
      <c r="BI5" s="19"/>
      <c r="BJ5" s="21" t="s">
        <v>139</v>
      </c>
      <c r="BK5" s="23">
        <v>0</v>
      </c>
      <c r="BL5" s="22"/>
      <c r="BN5" s="21" t="s">
        <v>139</v>
      </c>
      <c r="BO5" s="20">
        <v>0</v>
      </c>
      <c r="BQ5" s="21" t="s">
        <v>135</v>
      </c>
      <c r="BR5" s="20">
        <v>0</v>
      </c>
      <c r="BT5" s="21" t="s">
        <v>135</v>
      </c>
      <c r="BU5" s="20">
        <v>1</v>
      </c>
      <c r="BW5"/>
      <c r="BX5"/>
      <c r="BY5"/>
    </row>
    <row r="6" spans="1:77" x14ac:dyDescent="0.25">
      <c r="A6" s="2"/>
      <c r="D6" s="15" t="s">
        <v>10</v>
      </c>
      <c r="E6" s="25" t="e">
        <f>MIN(#REF!)</f>
        <v>#REF!</v>
      </c>
      <c r="F6" s="24"/>
      <c r="G6" s="2"/>
      <c r="V6" s="101"/>
      <c r="W6" s="101"/>
      <c r="X6" s="102" t="s">
        <v>9</v>
      </c>
      <c r="Y6" s="103" t="s">
        <v>140</v>
      </c>
      <c r="Z6" s="104" t="str">
        <f>$Y$5&amp;" "&amp;TEXT(Y6,"#,##0")</f>
        <v>$ 31,726</v>
      </c>
      <c r="AA6" s="105"/>
      <c r="AB6" s="11"/>
      <c r="AC6" s="11"/>
      <c r="BI6" s="19"/>
      <c r="BJ6"/>
      <c r="BK6"/>
      <c r="BL6" s="22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5" t="s">
        <v>8</v>
      </c>
      <c r="E7" s="25" t="e">
        <f>MAX(#REF!)</f>
        <v>#REF!</v>
      </c>
      <c r="F7" s="24"/>
      <c r="G7" s="2"/>
      <c r="V7" s="101"/>
      <c r="W7" s="101"/>
      <c r="X7" s="102" t="s">
        <v>7</v>
      </c>
      <c r="Y7" s="103" t="s">
        <v>137</v>
      </c>
      <c r="Z7" s="104" t="str">
        <f>$Y$5&amp;" "&amp;TEXT(Y7,"#,##0")</f>
        <v>$ 0</v>
      </c>
      <c r="AA7" s="105"/>
      <c r="AB7" s="11"/>
      <c r="AC7" s="11"/>
      <c r="BI7" s="19"/>
      <c r="BJ7"/>
      <c r="BK7"/>
      <c r="BL7" s="22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90" t="s">
        <v>6</v>
      </c>
      <c r="E8" s="17" t="e">
        <f>COUNTIFS(#REF!,"T")+COUNTIFS(#REF!,"C")</f>
        <v>#REF!</v>
      </c>
      <c r="F8" s="16"/>
      <c r="G8" s="2"/>
      <c r="V8" s="101"/>
      <c r="W8" s="101"/>
      <c r="X8" s="102" t="s">
        <v>5</v>
      </c>
      <c r="Y8" s="103" t="e">
        <f>SUMIFS(#REF!,#REF!,"T")+SUMIFS(#REF!,#REF!,"MP")</f>
        <v>#REF!</v>
      </c>
      <c r="Z8" s="103" t="e">
        <f>Y5&amp;" "&amp;TEXT(Y8,"#,##0")&amp;" spent"</f>
        <v>#REF!</v>
      </c>
      <c r="AA8" s="105"/>
      <c r="AB8" s="11"/>
      <c r="AC8" s="11"/>
      <c r="BI8" s="19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302"/>
      <c r="C9" s="303"/>
      <c r="D9" s="15" t="s">
        <v>125</v>
      </c>
      <c r="E9" s="17" t="e">
        <f>COUNTIFS(#REF!,"T",#REF!,1)+COUNTIFS(#REF!,"C",#REF!,1)</f>
        <v>#REF!</v>
      </c>
      <c r="F9" s="16"/>
      <c r="G9" s="2"/>
      <c r="V9" s="101"/>
      <c r="W9" s="101"/>
      <c r="X9" s="102" t="s">
        <v>4</v>
      </c>
      <c r="Y9" s="107">
        <f>IFERROR(Y8/Y6,0)</f>
        <v>0</v>
      </c>
      <c r="Z9" s="107">
        <f>1-Y9</f>
        <v>1</v>
      </c>
      <c r="AA9" s="108"/>
      <c r="AB9" s="18"/>
      <c r="AC9" s="18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5" t="s">
        <v>126</v>
      </c>
      <c r="E10" s="17" t="e">
        <f ca="1">COUNTIFS(#REF!,"T",#REF!,"&lt;"&amp;1,#REF!,"&gt;"&amp;0,#REF!,"&gt;="&amp;TODAY())+COUNTIFS(#REF!,"C",#REF!,"&lt;"&amp;1,#REF!,"&gt;"&amp;0,#REF!,"&gt;="&amp;TODAY())</f>
        <v>#REF!</v>
      </c>
      <c r="F10" s="16"/>
      <c r="G10" s="2"/>
      <c r="V10" s="101"/>
      <c r="W10" s="101"/>
      <c r="X10" s="101"/>
      <c r="Y10" s="109"/>
      <c r="Z10" s="109"/>
      <c r="AA10" s="109"/>
      <c r="AB10" s="12"/>
      <c r="AC10" s="12"/>
      <c r="BJ10"/>
      <c r="BK10"/>
      <c r="BN10"/>
      <c r="BO10"/>
      <c r="BQ10"/>
      <c r="BR10"/>
      <c r="BT10"/>
      <c r="BU10"/>
    </row>
    <row r="11" spans="1:77" x14ac:dyDescent="0.25">
      <c r="A11" s="2"/>
      <c r="D11" s="15" t="s">
        <v>127</v>
      </c>
      <c r="E11" s="17" t="e">
        <f ca="1">COUNTIFS(#REF!,"T",#REF!,0,#REF!,"&gt;="&amp;TODAY())+COUNTIFS(#REF!,"C",#REF!,0,#REF!,"&gt;="&amp;TODAY())</f>
        <v>#REF!</v>
      </c>
      <c r="F11" s="16"/>
      <c r="G11" s="2"/>
      <c r="V11" s="101"/>
      <c r="W11" s="101"/>
      <c r="X11" s="101" t="s">
        <v>133</v>
      </c>
      <c r="Y11" s="109" t="e">
        <f>SUMIFS(#REF!,#REF!,"T")+SUMIFS(#REF!,#REF!,"MP")</f>
        <v>#REF!</v>
      </c>
      <c r="Z11" s="104" t="e">
        <f>$Y$5&amp;" "&amp;TEXT(Y11,"#,##0")</f>
        <v>#REF!</v>
      </c>
      <c r="AA11" s="105"/>
      <c r="AB11" s="11"/>
      <c r="AC11" s="11"/>
      <c r="BJ11"/>
      <c r="BK11"/>
      <c r="BN11"/>
      <c r="BO11"/>
      <c r="BQ11"/>
      <c r="BR11"/>
      <c r="BT11"/>
      <c r="BU11"/>
    </row>
    <row r="12" spans="1:77" x14ac:dyDescent="0.25">
      <c r="A12" s="2"/>
      <c r="D12" s="15" t="s">
        <v>128</v>
      </c>
      <c r="E12" s="14" t="e">
        <f ca="1">COUNTIFS(#REF!,"T",#REF!,"&lt;&gt;"&amp;1,#REF!,"&lt;"&amp;TODAY())+COUNTIFS(#REF!,"C",#REF!,"&lt;&gt;"&amp;1,#REF!,"&lt;"&amp;TODAY())</f>
        <v>#REF!</v>
      </c>
      <c r="F12" s="13"/>
      <c r="G12" s="2"/>
      <c r="V12" s="101"/>
      <c r="W12" s="101"/>
      <c r="X12" s="101" t="s">
        <v>132</v>
      </c>
      <c r="Y12" s="109" t="e">
        <f>SUMIFS(#REF!,#REF!,"T")+SUMIFS(#REF!,#REF!,"MP")</f>
        <v>#REF!</v>
      </c>
      <c r="Z12" s="104" t="e">
        <f>$Y$5&amp;" "&amp;TEXT(Y12,"#,##0")</f>
        <v>#REF!</v>
      </c>
      <c r="AA12" s="105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95"/>
      <c r="C13" s="96"/>
      <c r="D13" s="97"/>
      <c r="E13" s="2"/>
      <c r="F13" s="2"/>
      <c r="G13" s="2"/>
      <c r="V13" s="101"/>
      <c r="W13" s="101"/>
      <c r="X13" s="101" t="s">
        <v>131</v>
      </c>
      <c r="Y13" s="109" t="e">
        <f>SUMIFS(#REF!,#REF!,"T")+SUMIFS(#REF!,#REF!,"MP")</f>
        <v>#REF!</v>
      </c>
      <c r="Z13" s="104" t="e">
        <f>$Y$5&amp;" "&amp;TEXT(Y13,"#,##0")</f>
        <v>#REF!</v>
      </c>
      <c r="AA13" s="105"/>
      <c r="AB13" s="11"/>
      <c r="AC13" s="11"/>
      <c r="BJ13"/>
      <c r="BK13"/>
      <c r="BN13"/>
      <c r="BO13"/>
      <c r="BQ13"/>
      <c r="BR13"/>
      <c r="BT13"/>
      <c r="BU13"/>
    </row>
    <row r="14" spans="1:77" x14ac:dyDescent="0.25">
      <c r="A14" s="2"/>
      <c r="B14" s="299" t="s">
        <v>3</v>
      </c>
      <c r="C14" s="299"/>
      <c r="D14" s="299"/>
      <c r="E14" s="299"/>
      <c r="F14" s="299"/>
      <c r="G14" s="2"/>
      <c r="V14" s="101"/>
      <c r="W14" s="101"/>
      <c r="X14" s="101"/>
      <c r="Y14" s="109"/>
      <c r="Z14" s="105"/>
      <c r="AA14" s="105"/>
      <c r="AB14" s="11"/>
      <c r="AC14" s="11"/>
      <c r="BJ14"/>
      <c r="BK14"/>
      <c r="BN14"/>
      <c r="BO14"/>
      <c r="BQ14"/>
      <c r="BR14"/>
      <c r="BT14"/>
      <c r="BU14"/>
    </row>
    <row r="15" spans="1:77" s="91" customFormat="1" ht="15" customHeight="1" x14ac:dyDescent="0.25">
      <c r="A15" s="2"/>
      <c r="B15" s="49"/>
      <c r="C15" s="49"/>
      <c r="D15" s="49"/>
      <c r="E15" s="49"/>
      <c r="F15" s="49"/>
      <c r="G15" s="2"/>
      <c r="H15" s="49"/>
      <c r="V15" s="101"/>
      <c r="W15" s="101"/>
      <c r="X15" s="101"/>
      <c r="Y15" s="101"/>
      <c r="Z15" s="101"/>
      <c r="AA15" s="101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10"/>
      <c r="AP15" s="8"/>
      <c r="AQ15" s="8"/>
      <c r="AR15" s="8"/>
      <c r="AS15" s="8"/>
      <c r="AT15" s="8"/>
      <c r="AU15" s="8"/>
      <c r="AV15" s="8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2"/>
      <c r="BH15" s="92"/>
      <c r="BJ15"/>
      <c r="BK15"/>
      <c r="BN15"/>
      <c r="BO15"/>
      <c r="BQ15" s="49"/>
      <c r="BR15" s="49"/>
      <c r="BT15" s="49"/>
      <c r="BU15" s="49"/>
    </row>
    <row r="16" spans="1:77" x14ac:dyDescent="0.25">
      <c r="A16" s="2"/>
      <c r="G16" s="2"/>
      <c r="V16" s="101"/>
      <c r="W16" s="101"/>
      <c r="X16" s="101" t="e">
        <f ca="1">SUM(INDIRECT("'Project Dashboard'!E10:E12"))&amp;" Tasks Left"</f>
        <v>#REF!</v>
      </c>
      <c r="Y16" s="101"/>
      <c r="Z16" s="101"/>
      <c r="AA16" s="101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94" t="s">
        <v>129</v>
      </c>
      <c r="D20" s="100" t="s">
        <v>130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91" customFormat="1" ht="15" customHeight="1" x14ac:dyDescent="0.25">
      <c r="A26" s="2"/>
      <c r="B26"/>
      <c r="C26"/>
      <c r="D26"/>
      <c r="E26"/>
      <c r="F26"/>
      <c r="G26" s="2"/>
      <c r="H26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10"/>
      <c r="AP26" s="8"/>
      <c r="AQ26" s="8"/>
      <c r="AR26" s="8"/>
      <c r="AS26" s="8"/>
      <c r="AT26" s="8"/>
      <c r="AU26" s="8"/>
      <c r="AV26" s="8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2"/>
      <c r="BH26" s="92"/>
      <c r="BJ26"/>
      <c r="BK26"/>
      <c r="BN26"/>
      <c r="BO26"/>
    </row>
    <row r="27" spans="1:67" x14ac:dyDescent="0.25">
      <c r="A27" s="2"/>
      <c r="B27" s="49"/>
      <c r="C27" s="49"/>
      <c r="D27" s="49"/>
      <c r="E27" s="49"/>
      <c r="F27" s="49"/>
      <c r="G27" s="2"/>
      <c r="H27" s="49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49"/>
      <c r="C34" s="49"/>
      <c r="D34" s="49"/>
      <c r="E34" s="49"/>
      <c r="F34" s="49"/>
      <c r="G34" s="2"/>
      <c r="BJ34"/>
      <c r="BK34"/>
      <c r="BN34"/>
      <c r="BO34"/>
    </row>
    <row r="35" spans="1:67" ht="15" customHeight="1" x14ac:dyDescent="0.25">
      <c r="A35" s="2"/>
      <c r="B35" s="49"/>
      <c r="C35" s="49"/>
      <c r="D35" s="49"/>
      <c r="E35" s="49"/>
      <c r="F35" s="49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4.3499999999999996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GC11"/>
  <sheetViews>
    <sheetView showGridLines="0" showRowColHeaders="0" topLeftCell="G6" workbookViewId="0">
      <selection activeCell="G6" sqref="G6"/>
    </sheetView>
  </sheetViews>
  <sheetFormatPr defaultColWidth="0" defaultRowHeight="16.350000000000001" customHeight="1" x14ac:dyDescent="0.25"/>
  <cols>
    <col min="1" max="6" width="16.140625" hidden="1" customWidth="1"/>
    <col min="7" max="7" width="5.7109375" style="7" customWidth="1"/>
    <col min="8" max="8" width="40.7109375" style="7" customWidth="1"/>
    <col min="9" max="9" width="16.7109375" style="7" customWidth="1"/>
    <col min="10" max="13" width="15.140625" style="7" hidden="1" customWidth="1"/>
    <col min="14" max="15" width="14.7109375" style="7" customWidth="1"/>
    <col min="16" max="17" width="8.7109375" style="7" customWidth="1"/>
    <col min="18" max="28" width="0" style="7" hidden="1"/>
  </cols>
  <sheetData>
    <row r="1" spans="1:85 2129:2129 15008:15057" s="50" customFormat="1" ht="12.75" hidden="1" customHeight="1" x14ac:dyDescent="0.25">
      <c r="A1" s="50" t="s">
        <v>21</v>
      </c>
      <c r="B1" s="50" t="s">
        <v>76</v>
      </c>
      <c r="C1" t="s">
        <v>75</v>
      </c>
      <c r="D1" s="50" t="s">
        <v>74</v>
      </c>
      <c r="E1" s="50" t="s">
        <v>73</v>
      </c>
      <c r="F1" s="50" t="s">
        <v>72</v>
      </c>
      <c r="G1" s="84" t="s">
        <v>48</v>
      </c>
      <c r="H1" s="83" t="s">
        <v>47</v>
      </c>
      <c r="I1" s="82" t="s">
        <v>46</v>
      </c>
      <c r="J1" s="80" t="s">
        <v>45</v>
      </c>
      <c r="K1" s="82" t="s">
        <v>44</v>
      </c>
      <c r="L1" s="81" t="s">
        <v>43</v>
      </c>
      <c r="M1" s="80" t="s">
        <v>42</v>
      </c>
      <c r="N1" s="124" t="s">
        <v>41</v>
      </c>
      <c r="O1" s="124" t="s">
        <v>39</v>
      </c>
      <c r="P1" s="133" t="s">
        <v>37</v>
      </c>
      <c r="Q1" s="127" t="s">
        <v>36</v>
      </c>
      <c r="R1" s="81" t="s">
        <v>40</v>
      </c>
      <c r="S1" s="81" t="s">
        <v>38</v>
      </c>
      <c r="T1" s="80" t="s">
        <v>35</v>
      </c>
      <c r="U1" s="139" t="s">
        <v>34</v>
      </c>
      <c r="V1" s="139" t="s">
        <v>33</v>
      </c>
      <c r="W1" s="139" t="s">
        <v>32</v>
      </c>
      <c r="X1" s="79" t="s">
        <v>31</v>
      </c>
      <c r="Y1" s="38" t="s">
        <v>124</v>
      </c>
      <c r="Z1" s="38" t="s">
        <v>123</v>
      </c>
      <c r="AA1" s="38" t="s">
        <v>149</v>
      </c>
      <c r="AB1" s="38" t="s">
        <v>150</v>
      </c>
      <c r="AC1" s="52" t="s">
        <v>122</v>
      </c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 t="s">
        <v>121</v>
      </c>
      <c r="CG1" s="51"/>
      <c r="CCW1" s="50" t="s">
        <v>120</v>
      </c>
      <c r="VEF1" s="50" t="s">
        <v>119</v>
      </c>
      <c r="VEG1" s="50" t="s">
        <v>7</v>
      </c>
      <c r="VEH1" s="50" t="s">
        <v>9</v>
      </c>
      <c r="VEI1" s="50" t="s">
        <v>118</v>
      </c>
      <c r="VEJ1" s="50" t="s">
        <v>117</v>
      </c>
      <c r="VEK1" s="50" t="s">
        <v>159</v>
      </c>
      <c r="VEL1" s="50" t="s">
        <v>151</v>
      </c>
      <c r="VEM1" s="50" t="s">
        <v>152</v>
      </c>
      <c r="VEN1" s="50" t="s">
        <v>116</v>
      </c>
      <c r="VEO1" s="50" t="s">
        <v>115</v>
      </c>
      <c r="VEP1" s="50" t="s">
        <v>114</v>
      </c>
      <c r="VEQ1" s="50" t="s">
        <v>113</v>
      </c>
      <c r="VER1" s="50" t="s">
        <v>112</v>
      </c>
      <c r="VES1" s="50" t="s">
        <v>111</v>
      </c>
      <c r="VET1" s="50" t="s">
        <v>110</v>
      </c>
      <c r="VEU1" s="50" t="s">
        <v>109</v>
      </c>
      <c r="VEV1" s="50" t="s">
        <v>108</v>
      </c>
      <c r="VEW1" s="50" t="s">
        <v>107</v>
      </c>
      <c r="VEX1" s="50" t="s">
        <v>106</v>
      </c>
      <c r="VEY1" s="50" t="s">
        <v>105</v>
      </c>
      <c r="VEZ1" s="50" t="s">
        <v>104</v>
      </c>
      <c r="VFA1" s="50" t="s">
        <v>103</v>
      </c>
      <c r="VFB1" s="50" t="s">
        <v>102</v>
      </c>
      <c r="VFC1" s="50" t="s">
        <v>145</v>
      </c>
      <c r="VFD1" s="50" t="s">
        <v>101</v>
      </c>
      <c r="VFE1" s="50" t="s">
        <v>100</v>
      </c>
      <c r="VFF1" s="50" t="s">
        <v>99</v>
      </c>
      <c r="VFG1" s="50" t="s">
        <v>98</v>
      </c>
      <c r="VFH1" s="50" t="s">
        <v>97</v>
      </c>
      <c r="VFI1" s="50" t="s">
        <v>96</v>
      </c>
      <c r="VFJ1" s="50" t="s">
        <v>95</v>
      </c>
      <c r="VFK1" s="50" t="s">
        <v>94</v>
      </c>
      <c r="VFL1" s="50" t="s">
        <v>93</v>
      </c>
      <c r="VFM1" s="50" t="s">
        <v>92</v>
      </c>
      <c r="VFN1" s="50" t="s">
        <v>91</v>
      </c>
      <c r="VFO1" s="50" t="s">
        <v>90</v>
      </c>
      <c r="VFP1" s="50" t="s">
        <v>89</v>
      </c>
      <c r="VFQ1" s="50" t="s">
        <v>88</v>
      </c>
      <c r="VFR1" s="50" t="s">
        <v>87</v>
      </c>
      <c r="VFS1" s="50" t="s">
        <v>86</v>
      </c>
      <c r="VFT1" s="50" t="s">
        <v>85</v>
      </c>
      <c r="VFU1" s="50" t="s">
        <v>84</v>
      </c>
      <c r="VFV1" s="50" t="s">
        <v>83</v>
      </c>
      <c r="VFW1" s="50" t="s">
        <v>82</v>
      </c>
      <c r="VFX1" s="50" t="s">
        <v>136</v>
      </c>
      <c r="VFY1" s="50" t="s">
        <v>144</v>
      </c>
      <c r="VFZ1" s="50" t="s">
        <v>154</v>
      </c>
      <c r="VGA1" s="50" t="s">
        <v>155</v>
      </c>
      <c r="VGB1" s="50" t="s">
        <v>161</v>
      </c>
      <c r="VGC1" s="50" t="s">
        <v>192</v>
      </c>
    </row>
    <row r="2" spans="1:85 2129:2129 15008:15057" s="50" customFormat="1" ht="12.75" hidden="1" customHeight="1" x14ac:dyDescent="0.2">
      <c r="A2" s="89" t="s">
        <v>81</v>
      </c>
      <c r="B2" s="89" t="s">
        <v>81</v>
      </c>
      <c r="C2" s="89" t="s">
        <v>81</v>
      </c>
      <c r="D2" s="89" t="s">
        <v>81</v>
      </c>
      <c r="E2" s="89" t="s">
        <v>81</v>
      </c>
      <c r="F2" s="89" t="s">
        <v>81</v>
      </c>
      <c r="G2" s="84" t="s">
        <v>81</v>
      </c>
      <c r="H2" s="83" t="s">
        <v>81</v>
      </c>
      <c r="I2" s="82" t="s">
        <v>81</v>
      </c>
      <c r="J2" s="80" t="s">
        <v>81</v>
      </c>
      <c r="K2" s="82" t="s">
        <v>81</v>
      </c>
      <c r="L2" s="81" t="s">
        <v>81</v>
      </c>
      <c r="M2" s="80" t="s">
        <v>81</v>
      </c>
      <c r="N2" s="124" t="s">
        <v>81</v>
      </c>
      <c r="O2" s="124" t="s">
        <v>81</v>
      </c>
      <c r="P2" s="133" t="s">
        <v>81</v>
      </c>
      <c r="Q2" s="128" t="s">
        <v>81</v>
      </c>
      <c r="R2" s="81" t="s">
        <v>81</v>
      </c>
      <c r="S2" s="81" t="s">
        <v>81</v>
      </c>
      <c r="T2" s="80" t="s">
        <v>81</v>
      </c>
      <c r="U2" s="133" t="s">
        <v>81</v>
      </c>
      <c r="V2" s="133" t="s">
        <v>81</v>
      </c>
      <c r="W2" s="133" t="s">
        <v>81</v>
      </c>
      <c r="X2" s="88" t="s">
        <v>81</v>
      </c>
      <c r="Y2" s="115" t="s">
        <v>81</v>
      </c>
      <c r="Z2" s="115" t="s">
        <v>81</v>
      </c>
      <c r="AA2" s="115" t="s">
        <v>81</v>
      </c>
      <c r="AB2" s="115" t="s">
        <v>81</v>
      </c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1"/>
      <c r="VEF2" s="86" t="b">
        <v>1</v>
      </c>
      <c r="VEG2" s="86"/>
      <c r="VEH2" s="86"/>
      <c r="VEI2" s="86"/>
      <c r="VEJ2" s="86">
        <v>0</v>
      </c>
      <c r="VEK2" s="86">
        <v>0</v>
      </c>
      <c r="VEL2" s="86">
        <v>0</v>
      </c>
      <c r="VEM2" s="86">
        <v>0</v>
      </c>
      <c r="VEN2" s="86" t="s">
        <v>11</v>
      </c>
      <c r="VEO2" s="86">
        <v>1</v>
      </c>
      <c r="VEP2" s="86" t="s">
        <v>80</v>
      </c>
      <c r="VEQ2" s="86">
        <v>1</v>
      </c>
      <c r="VER2" s="86">
        <v>1</v>
      </c>
      <c r="VES2" s="86">
        <v>1</v>
      </c>
      <c r="VET2" s="86">
        <v>1</v>
      </c>
      <c r="VEU2" s="86"/>
      <c r="VEV2" s="86">
        <v>1</v>
      </c>
      <c r="VEW2" s="86">
        <v>1</v>
      </c>
      <c r="VEX2" s="86">
        <v>1</v>
      </c>
      <c r="VEY2" s="86">
        <v>1</v>
      </c>
      <c r="VEZ2" s="86">
        <v>1</v>
      </c>
      <c r="VFA2" s="86"/>
      <c r="VFB2" s="86">
        <v>1</v>
      </c>
      <c r="VFC2" s="50" t="s">
        <v>146</v>
      </c>
      <c r="VFD2" s="86">
        <v>1</v>
      </c>
      <c r="VFE2" s="87">
        <v>16</v>
      </c>
      <c r="VFF2" s="86">
        <v>0</v>
      </c>
      <c r="VFG2" s="50">
        <v>1</v>
      </c>
      <c r="VFH2" s="50">
        <v>1</v>
      </c>
      <c r="VFI2" s="50" t="s">
        <v>213</v>
      </c>
      <c r="VFJ2" s="50">
        <v>0</v>
      </c>
      <c r="VFK2" s="50" t="s">
        <v>79</v>
      </c>
      <c r="VFL2" s="50">
        <v>1</v>
      </c>
      <c r="VFM2" s="50">
        <v>0</v>
      </c>
      <c r="VFN2" s="85" t="s">
        <v>231</v>
      </c>
      <c r="VFO2" s="85" t="s">
        <v>232</v>
      </c>
      <c r="VFP2" s="85" t="s">
        <v>214</v>
      </c>
      <c r="VFR2" s="50">
        <v>25</v>
      </c>
      <c r="VFS2" s="50">
        <v>10</v>
      </c>
      <c r="VFT2" s="50" t="s">
        <v>47</v>
      </c>
      <c r="VFU2" s="50">
        <v>0</v>
      </c>
      <c r="VFV2" s="50">
        <v>0</v>
      </c>
      <c r="VFW2" s="50">
        <v>0</v>
      </c>
      <c r="VFX2" s="60" t="s">
        <v>215</v>
      </c>
      <c r="VFY2" s="50" t="s">
        <v>216</v>
      </c>
      <c r="VFZ2" s="50" t="s">
        <v>156</v>
      </c>
      <c r="VGA2" s="50" t="s">
        <v>157</v>
      </c>
      <c r="VGB2" s="147">
        <v>43507</v>
      </c>
      <c r="VGC2" s="50">
        <v>1</v>
      </c>
    </row>
    <row r="3" spans="1:85 2129:2129 15008:15057" s="50" customFormat="1" ht="12.75" hidden="1" customHeight="1" x14ac:dyDescent="0.2">
      <c r="A3" s="86"/>
      <c r="G3" s="84"/>
      <c r="H3" s="83"/>
      <c r="I3" s="82"/>
      <c r="J3" s="80"/>
      <c r="K3" s="82"/>
      <c r="L3" s="81"/>
      <c r="M3" s="80"/>
      <c r="N3" s="124"/>
      <c r="O3" s="124"/>
      <c r="P3" s="133"/>
      <c r="Q3" s="127"/>
      <c r="R3" s="81"/>
      <c r="S3" s="81"/>
      <c r="T3" s="80"/>
      <c r="U3" s="139"/>
      <c r="V3" s="139"/>
      <c r="W3" s="139"/>
      <c r="X3" s="79"/>
      <c r="Y3" s="38"/>
      <c r="Z3" s="38"/>
      <c r="AA3" s="38"/>
      <c r="AB3" s="38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1"/>
    </row>
    <row r="4" spans="1:85 2129:2129 15008:15057" s="50" customFormat="1" ht="12.75" hidden="1" customHeight="1" x14ac:dyDescent="0.2">
      <c r="G4" s="84"/>
      <c r="H4" s="83"/>
      <c r="I4" s="82"/>
      <c r="J4" s="80"/>
      <c r="K4" s="82"/>
      <c r="L4" s="81"/>
      <c r="M4" s="80"/>
      <c r="N4" s="124"/>
      <c r="O4" s="124"/>
      <c r="P4" s="133"/>
      <c r="Q4" s="127"/>
      <c r="R4" s="81"/>
      <c r="S4" s="81"/>
      <c r="T4" s="80"/>
      <c r="U4" s="139"/>
      <c r="V4" s="139"/>
      <c r="W4" s="139"/>
      <c r="X4" s="79"/>
      <c r="Y4" s="38"/>
      <c r="Z4" s="38"/>
      <c r="AA4" s="38"/>
      <c r="AB4" s="38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1"/>
    </row>
    <row r="5" spans="1:85 2129:2129 15008:15057" s="50" customFormat="1" ht="12.75" hidden="1" customHeight="1" x14ac:dyDescent="0.2">
      <c r="G5" s="84"/>
      <c r="H5" s="83"/>
      <c r="I5" s="82"/>
      <c r="J5" s="80"/>
      <c r="K5" s="82"/>
      <c r="L5" s="81"/>
      <c r="M5" s="80"/>
      <c r="N5" s="124"/>
      <c r="O5" s="124"/>
      <c r="P5" s="133"/>
      <c r="Q5" s="127"/>
      <c r="R5" s="81"/>
      <c r="S5" s="81"/>
      <c r="T5" s="80"/>
      <c r="U5" s="139"/>
      <c r="V5" s="139"/>
      <c r="W5" s="139"/>
      <c r="X5" s="79"/>
      <c r="Y5" s="38"/>
      <c r="Z5" s="38"/>
      <c r="AA5" s="38"/>
      <c r="AB5" s="38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1"/>
    </row>
    <row r="6" spans="1:85 2129:2129 15008:15057" ht="27" customHeight="1" x14ac:dyDescent="0.25">
      <c r="A6" s="50"/>
      <c r="B6" s="50"/>
      <c r="C6" s="50"/>
      <c r="D6" s="50"/>
      <c r="E6" s="50"/>
      <c r="F6" s="50"/>
      <c r="G6" s="142" t="s">
        <v>78</v>
      </c>
      <c r="H6" s="76"/>
      <c r="I6" s="76"/>
      <c r="J6" s="78"/>
      <c r="K6" s="76"/>
      <c r="L6" s="76"/>
      <c r="M6" s="78"/>
      <c r="N6" s="77"/>
      <c r="O6" s="77"/>
      <c r="P6" s="134"/>
      <c r="Q6" s="129"/>
      <c r="R6" s="76"/>
      <c r="S6" s="76"/>
      <c r="T6" s="78"/>
      <c r="U6" s="134"/>
      <c r="V6" s="134"/>
      <c r="W6" s="134"/>
      <c r="X6" s="76"/>
      <c r="Y6" s="76"/>
      <c r="Z6" s="76"/>
      <c r="AA6" s="76"/>
      <c r="AB6" s="76"/>
    </row>
    <row r="7" spans="1:85 2129:2129 15008:15057" ht="14.1" customHeight="1" x14ac:dyDescent="0.25">
      <c r="A7" s="50"/>
      <c r="B7" s="50"/>
      <c r="C7" s="50"/>
      <c r="D7" s="50"/>
      <c r="E7" s="50"/>
      <c r="F7" s="50"/>
      <c r="G7" s="143" t="s">
        <v>206</v>
      </c>
      <c r="H7" s="144"/>
      <c r="I7" s="75"/>
      <c r="J7" s="145"/>
      <c r="K7" s="75"/>
      <c r="L7" s="74"/>
      <c r="M7" s="73"/>
      <c r="N7" s="125"/>
      <c r="O7" s="125"/>
      <c r="P7" s="135"/>
      <c r="Q7" s="130"/>
      <c r="R7" s="74"/>
      <c r="S7" s="74"/>
      <c r="T7" s="73"/>
      <c r="U7" s="140"/>
      <c r="V7" s="140"/>
      <c r="W7" s="140"/>
      <c r="X7" s="72"/>
      <c r="Y7" s="72"/>
      <c r="Z7" s="72"/>
      <c r="AA7" s="72"/>
      <c r="AB7" s="72"/>
    </row>
    <row r="8" spans="1:85 2129:2129 15008:15057" ht="14.1" customHeight="1" x14ac:dyDescent="0.25">
      <c r="A8" s="50"/>
      <c r="B8" s="50"/>
      <c r="C8" s="50"/>
      <c r="D8" s="50"/>
      <c r="E8" s="50"/>
      <c r="F8" s="50"/>
      <c r="G8" s="71" t="s">
        <v>77</v>
      </c>
      <c r="H8" s="70"/>
      <c r="I8" s="70"/>
      <c r="J8" s="69"/>
      <c r="K8" s="70"/>
      <c r="L8" s="70"/>
      <c r="M8" s="69"/>
      <c r="N8" s="126"/>
      <c r="O8" s="126"/>
      <c r="P8" s="136"/>
      <c r="Q8" s="131"/>
      <c r="R8" s="70"/>
      <c r="S8" s="70"/>
      <c r="T8" s="69"/>
      <c r="U8" s="141"/>
      <c r="V8" s="141"/>
      <c r="W8" s="141"/>
      <c r="X8" s="68"/>
      <c r="Y8" s="68"/>
      <c r="Z8" s="68"/>
      <c r="AA8" s="68"/>
      <c r="AB8" s="68"/>
    </row>
    <row r="9" spans="1:85 2129:2129 15008:15057" ht="23.25" customHeight="1" x14ac:dyDescent="0.25">
      <c r="A9" s="60" t="s">
        <v>21</v>
      </c>
      <c r="B9" s="60" t="s">
        <v>76</v>
      </c>
      <c r="C9" s="60" t="s">
        <v>75</v>
      </c>
      <c r="D9" s="60" t="s">
        <v>74</v>
      </c>
      <c r="E9" s="60" t="s">
        <v>73</v>
      </c>
      <c r="F9" s="60" t="s">
        <v>72</v>
      </c>
      <c r="G9" s="67" t="s">
        <v>48</v>
      </c>
      <c r="H9" s="66" t="s">
        <v>71</v>
      </c>
      <c r="I9" s="65" t="s">
        <v>70</v>
      </c>
      <c r="J9" s="138" t="s">
        <v>69</v>
      </c>
      <c r="K9" s="65" t="s">
        <v>68</v>
      </c>
      <c r="L9" s="63" t="s">
        <v>67</v>
      </c>
      <c r="M9" s="62" t="s">
        <v>66</v>
      </c>
      <c r="N9" s="64" t="s">
        <v>65</v>
      </c>
      <c r="O9" s="63" t="s">
        <v>64</v>
      </c>
      <c r="P9" s="62" t="s">
        <v>63</v>
      </c>
      <c r="Q9" s="61" t="s">
        <v>142</v>
      </c>
      <c r="R9" s="64" t="s">
        <v>62</v>
      </c>
      <c r="S9" s="63" t="s">
        <v>61</v>
      </c>
      <c r="T9" s="62" t="s">
        <v>60</v>
      </c>
      <c r="U9" s="138" t="s">
        <v>59</v>
      </c>
      <c r="V9" s="138" t="s">
        <v>58</v>
      </c>
      <c r="W9" s="138" t="s">
        <v>5</v>
      </c>
      <c r="X9" s="61" t="s">
        <v>31</v>
      </c>
      <c r="Y9" s="61" t="s">
        <v>57</v>
      </c>
      <c r="Z9" s="61" t="s">
        <v>56</v>
      </c>
      <c r="AA9" s="114" t="s">
        <v>147</v>
      </c>
      <c r="AB9" s="114" t="s">
        <v>148</v>
      </c>
    </row>
    <row r="10" spans="1:85 2129:2129 15008:15057" ht="16.350000000000001" customHeight="1" x14ac:dyDescent="0.25">
      <c r="A10" t="s">
        <v>55</v>
      </c>
      <c r="B10">
        <v>1</v>
      </c>
      <c r="G10" s="53">
        <v>1</v>
      </c>
      <c r="H10" s="58" t="s">
        <v>54</v>
      </c>
      <c r="I10" s="58"/>
      <c r="J10" s="137"/>
      <c r="K10" s="57"/>
      <c r="L10" s="56"/>
      <c r="M10" s="55"/>
      <c r="N10" s="56">
        <v>42393</v>
      </c>
      <c r="O10" s="56">
        <v>42394</v>
      </c>
      <c r="P10" s="55">
        <v>1</v>
      </c>
      <c r="Q10" s="132">
        <v>0</v>
      </c>
      <c r="R10" s="56"/>
      <c r="S10" s="56"/>
      <c r="T10" s="55"/>
      <c r="U10" s="146"/>
      <c r="V10" s="146"/>
      <c r="W10" s="146"/>
      <c r="X10" s="54"/>
      <c r="Y10" s="200"/>
      <c r="Z10" s="201"/>
      <c r="AA10" s="116"/>
      <c r="AB10" s="117"/>
    </row>
    <row r="11" spans="1:85 2129:2129 15008:15057" ht="16.350000000000001" customHeight="1" x14ac:dyDescent="0.25">
      <c r="G11" s="53"/>
      <c r="H11" s="59" t="s">
        <v>53</v>
      </c>
      <c r="I11" s="58"/>
      <c r="J11" s="137"/>
      <c r="K11" s="57"/>
      <c r="L11" s="56"/>
      <c r="M11" s="55"/>
      <c r="N11" s="56"/>
      <c r="O11" s="56"/>
      <c r="P11" s="55"/>
      <c r="Q11" s="132"/>
      <c r="R11" s="56"/>
      <c r="S11" s="56"/>
      <c r="T11" s="55"/>
      <c r="U11" s="146"/>
      <c r="V11" s="146"/>
      <c r="W11" s="146"/>
      <c r="X11" s="54"/>
      <c r="Y11" s="54"/>
      <c r="Z11" s="54"/>
      <c r="AA11" s="54"/>
      <c r="AB11" s="54"/>
    </row>
  </sheetData>
  <sheetProtection algorithmName="SHA-512" hashValue="fndsrorTvtE6tmwiU0mtAbmtHtrdiFPFiKipMZC9r2Tg7BE/KhWrr5cifbn7qDKW01hWSltIkYRuq1iJt0ZYow==" saltValue="0F4wLDXt1AyIlvCaTm4o/g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L13"/>
  <sheetViews>
    <sheetView workbookViewId="0"/>
  </sheetViews>
  <sheetFormatPr defaultRowHeight="15" x14ac:dyDescent="0.25"/>
  <cols>
    <col min="1" max="1" width="15" bestFit="1" customWidth="1"/>
    <col min="2" max="2" width="13.5703125" bestFit="1" customWidth="1"/>
    <col min="6" max="6" width="12.28515625" style="152" bestFit="1" customWidth="1"/>
    <col min="7" max="7" width="13.5703125" style="153" bestFit="1" customWidth="1"/>
    <col min="11" max="11" width="2.140625" customWidth="1"/>
  </cols>
  <sheetData>
    <row r="1" spans="1:90" x14ac:dyDescent="0.25">
      <c r="A1" s="154" t="s">
        <v>164</v>
      </c>
      <c r="B1" s="154" t="s">
        <v>69</v>
      </c>
      <c r="C1" s="154"/>
      <c r="D1" s="154"/>
      <c r="E1" s="154"/>
      <c r="F1" s="155" t="s">
        <v>166</v>
      </c>
      <c r="G1" s="156" t="s">
        <v>165</v>
      </c>
      <c r="H1" s="154"/>
      <c r="K1" s="189" t="s">
        <v>207</v>
      </c>
      <c r="L1" s="189"/>
      <c r="M1" s="189"/>
      <c r="N1" s="189"/>
      <c r="O1" s="189"/>
      <c r="P1" s="189"/>
      <c r="Q1" s="189"/>
      <c r="X1" s="157" t="s">
        <v>168</v>
      </c>
      <c r="Y1" s="157" t="s">
        <v>181</v>
      </c>
      <c r="Z1" s="157" t="s">
        <v>171</v>
      </c>
      <c r="AA1" s="157" t="s">
        <v>170</v>
      </c>
      <c r="AB1" s="157" t="s">
        <v>142</v>
      </c>
      <c r="AC1" s="157" t="s">
        <v>172</v>
      </c>
      <c r="AD1" s="157" t="s">
        <v>173</v>
      </c>
      <c r="AE1" s="157" t="s">
        <v>174</v>
      </c>
      <c r="AF1" s="157" t="s">
        <v>175</v>
      </c>
      <c r="AG1" s="157" t="s">
        <v>176</v>
      </c>
      <c r="AH1" s="157" t="s">
        <v>177</v>
      </c>
      <c r="AI1" s="157" t="s">
        <v>182</v>
      </c>
      <c r="AJ1" s="157" t="s">
        <v>183</v>
      </c>
      <c r="AK1" s="157" t="s">
        <v>184</v>
      </c>
      <c r="AL1" s="157" t="s">
        <v>186</v>
      </c>
      <c r="AM1" s="157" t="s">
        <v>187</v>
      </c>
      <c r="AN1" s="157" t="s">
        <v>190</v>
      </c>
      <c r="AO1" s="157" t="s">
        <v>191</v>
      </c>
      <c r="AP1" s="157" t="s">
        <v>188</v>
      </c>
      <c r="AQ1" s="157" t="s">
        <v>189</v>
      </c>
      <c r="AR1" s="157" t="s">
        <v>210</v>
      </c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CA1" t="s">
        <v>211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</row>
    <row r="2" spans="1:90" x14ac:dyDescent="0.25">
      <c r="A2" s="154"/>
      <c r="B2" s="154"/>
      <c r="C2" s="154"/>
      <c r="D2" s="154"/>
      <c r="E2" s="154"/>
      <c r="H2" s="154"/>
      <c r="K2" s="190">
        <v>1</v>
      </c>
      <c r="L2" s="190" t="s">
        <v>193</v>
      </c>
      <c r="M2" s="190"/>
      <c r="N2" s="190"/>
      <c r="O2" s="190"/>
      <c r="P2" s="190"/>
      <c r="Q2" s="190"/>
      <c r="X2" t="s">
        <v>179</v>
      </c>
      <c r="Y2" t="s">
        <v>178</v>
      </c>
      <c r="Z2" s="192"/>
      <c r="AA2" s="191"/>
      <c r="AB2" s="1"/>
      <c r="AC2" s="170"/>
      <c r="AD2" s="184"/>
      <c r="AE2" s="183"/>
      <c r="AF2" s="194"/>
      <c r="AG2" s="171"/>
      <c r="AH2" s="185"/>
      <c r="AI2" s="1"/>
      <c r="AJ2" s="177"/>
      <c r="AK2">
        <v>2</v>
      </c>
      <c r="AL2" s="159"/>
      <c r="AM2" s="186"/>
      <c r="AN2" s="177"/>
      <c r="AO2" s="176"/>
      <c r="AP2" s="185"/>
      <c r="AQ2" s="49"/>
      <c r="AR2" s="181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" x14ac:dyDescent="0.25">
      <c r="A3" s="154"/>
      <c r="B3" s="154"/>
      <c r="C3" s="154"/>
      <c r="D3" s="154"/>
      <c r="E3" s="154"/>
      <c r="F3" s="155"/>
      <c r="G3" s="156"/>
      <c r="H3" s="154"/>
      <c r="K3" s="190">
        <v>2</v>
      </c>
      <c r="L3" s="190" t="s">
        <v>194</v>
      </c>
      <c r="M3" s="190"/>
      <c r="N3" s="190"/>
      <c r="O3" s="190"/>
      <c r="P3" s="190"/>
      <c r="Q3" s="190"/>
      <c r="X3" t="s">
        <v>178</v>
      </c>
      <c r="Z3" s="199"/>
      <c r="AA3" s="169"/>
      <c r="AB3" s="198"/>
      <c r="AC3" s="161"/>
      <c r="AD3" s="1"/>
      <c r="AE3" s="163"/>
      <c r="AF3" s="162"/>
      <c r="AG3" s="164"/>
      <c r="AH3" s="168"/>
      <c r="AI3" s="171"/>
      <c r="AJ3" s="176"/>
      <c r="AL3" s="173"/>
      <c r="AM3" s="187"/>
      <c r="AN3" s="158"/>
      <c r="AO3" s="188"/>
      <c r="AP3" s="49"/>
      <c r="AQ3" s="188"/>
      <c r="AR3" s="181"/>
    </row>
    <row r="4" spans="1:90" x14ac:dyDescent="0.25">
      <c r="A4" s="154"/>
      <c r="B4" s="154"/>
      <c r="C4" s="154"/>
      <c r="D4" s="154"/>
      <c r="E4" s="154"/>
      <c r="F4" s="155"/>
      <c r="G4" s="156"/>
      <c r="H4" s="154"/>
      <c r="K4" s="190">
        <v>3</v>
      </c>
      <c r="L4" s="190" t="s">
        <v>212</v>
      </c>
      <c r="M4" s="190"/>
      <c r="N4" s="190"/>
      <c r="O4" s="190"/>
      <c r="P4" s="190"/>
      <c r="Q4" s="190"/>
      <c r="X4" t="s">
        <v>180</v>
      </c>
      <c r="Z4" s="158"/>
      <c r="AA4" s="159"/>
      <c r="AB4" s="170"/>
      <c r="AC4" s="172"/>
      <c r="AD4" s="169"/>
      <c r="AE4" s="167"/>
      <c r="AF4" s="166"/>
      <c r="AG4" s="179"/>
      <c r="AH4" s="178"/>
      <c r="AI4" s="170"/>
      <c r="AJ4" s="158"/>
      <c r="AL4" s="159"/>
      <c r="AM4" s="193"/>
      <c r="AN4" s="195"/>
      <c r="AR4" s="181"/>
    </row>
    <row r="5" spans="1:90" x14ac:dyDescent="0.25">
      <c r="A5" s="154"/>
      <c r="B5" s="154"/>
      <c r="C5" s="154"/>
      <c r="D5" s="154"/>
      <c r="E5" s="154"/>
      <c r="F5" s="155"/>
      <c r="G5" s="156"/>
      <c r="H5" s="154"/>
      <c r="K5" s="190">
        <v>4</v>
      </c>
      <c r="L5" s="190" t="s">
        <v>167</v>
      </c>
      <c r="M5" s="190"/>
      <c r="N5" s="190"/>
      <c r="O5" s="190"/>
      <c r="P5" s="190"/>
      <c r="Q5" s="190"/>
      <c r="X5" t="s">
        <v>169</v>
      </c>
      <c r="Z5" s="165"/>
      <c r="AB5" s="182"/>
      <c r="AC5" s="175"/>
      <c r="AD5" s="174"/>
      <c r="AE5" s="183"/>
      <c r="AF5" s="162"/>
      <c r="AG5" s="180"/>
      <c r="AH5" s="164"/>
      <c r="AI5" s="181"/>
      <c r="AJ5" s="160"/>
      <c r="AL5" s="173"/>
      <c r="AM5" s="186"/>
      <c r="AN5" s="177"/>
      <c r="AO5" s="176"/>
      <c r="AP5" s="185"/>
      <c r="AQ5" s="49"/>
      <c r="AR5" s="181"/>
    </row>
    <row r="6" spans="1:90" x14ac:dyDescent="0.25">
      <c r="A6" s="154"/>
      <c r="B6" s="154"/>
      <c r="C6" s="154"/>
      <c r="D6" s="154"/>
      <c r="E6" s="154"/>
      <c r="F6" s="155"/>
      <c r="G6" s="156"/>
      <c r="H6" s="154"/>
      <c r="X6" t="s">
        <v>185</v>
      </c>
      <c r="Z6" s="199"/>
      <c r="AA6" s="169"/>
      <c r="AB6" s="198"/>
      <c r="AC6" s="161"/>
      <c r="AD6" s="1"/>
      <c r="AE6" s="163"/>
      <c r="AF6" s="162"/>
      <c r="AG6" s="164"/>
      <c r="AH6" s="168"/>
      <c r="AI6" s="171"/>
      <c r="AJ6" s="176"/>
      <c r="AL6" s="173"/>
      <c r="AM6" s="187"/>
      <c r="AN6" s="158"/>
      <c r="AO6" s="188"/>
      <c r="AP6" s="49"/>
      <c r="AQ6" s="188"/>
      <c r="AR6" s="181"/>
    </row>
    <row r="7" spans="1:90" x14ac:dyDescent="0.25">
      <c r="A7" s="154"/>
      <c r="B7" s="154"/>
      <c r="C7" s="154"/>
      <c r="D7" s="154"/>
      <c r="E7" s="154"/>
      <c r="F7" s="155"/>
      <c r="G7" s="156"/>
      <c r="H7" s="154"/>
    </row>
    <row r="8" spans="1:90" x14ac:dyDescent="0.25">
      <c r="A8" s="154"/>
      <c r="B8" s="154"/>
      <c r="C8" s="154"/>
      <c r="D8" s="154"/>
      <c r="E8" s="154"/>
      <c r="F8" s="155"/>
      <c r="G8" s="156"/>
      <c r="H8" s="154"/>
    </row>
    <row r="9" spans="1:90" x14ac:dyDescent="0.25">
      <c r="A9" s="154"/>
      <c r="B9" s="154"/>
      <c r="C9" s="154"/>
      <c r="D9" s="154"/>
      <c r="E9" s="154"/>
      <c r="F9" s="155"/>
      <c r="G9" s="156"/>
      <c r="H9" s="154"/>
    </row>
    <row r="10" spans="1:90" x14ac:dyDescent="0.25">
      <c r="A10" s="154"/>
      <c r="B10" s="154"/>
      <c r="C10" s="154"/>
      <c r="D10" s="154"/>
      <c r="E10" s="154"/>
      <c r="F10" s="155"/>
      <c r="G10" s="156"/>
      <c r="H10" s="154"/>
    </row>
    <row r="11" spans="1:90" x14ac:dyDescent="0.25">
      <c r="A11" s="154"/>
      <c r="B11" s="154"/>
      <c r="C11" s="154"/>
      <c r="D11" s="154"/>
      <c r="E11" s="154"/>
      <c r="F11" s="155"/>
      <c r="G11" s="156"/>
      <c r="H11" s="154"/>
    </row>
    <row r="12" spans="1:90" x14ac:dyDescent="0.25">
      <c r="A12" s="154"/>
      <c r="B12" s="154"/>
      <c r="C12" s="154"/>
      <c r="D12" s="154"/>
      <c r="E12" s="154"/>
      <c r="F12" s="155"/>
      <c r="G12" s="156"/>
      <c r="H12" s="154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</row>
    <row r="13" spans="1:90" x14ac:dyDescent="0.25">
      <c r="C13" s="154"/>
      <c r="D13" s="154"/>
      <c r="E13" s="154"/>
      <c r="F13" s="155"/>
      <c r="G13" s="156"/>
      <c r="H13" s="154"/>
    </row>
  </sheetData>
  <sortState ref="F2:G14">
    <sortCondition ref="F2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95250</xdr:colOff>
                    <xdr:row>5</xdr:row>
                    <xdr:rowOff>142875</xdr:rowOff>
                  </from>
                  <to>
                    <xdr:col>13</xdr:col>
                    <xdr:colOff>257175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GA29"/>
  <sheetViews>
    <sheetView showGridLines="0" showRowColHeaders="0" zoomScaleNormal="100" workbookViewId="0">
      <selection activeCell="C3" sqref="C3"/>
    </sheetView>
  </sheetViews>
  <sheetFormatPr defaultColWidth="9.140625" defaultRowHeight="15" x14ac:dyDescent="0.25"/>
  <cols>
    <col min="1" max="1" width="1" customWidth="1"/>
    <col min="2" max="2" width="6.28515625" customWidth="1"/>
    <col min="3" max="3" width="1.28515625" customWidth="1"/>
    <col min="4" max="14" width="9.140625" customWidth="1"/>
    <col min="15" max="15" width="9.28515625" customWidth="1"/>
    <col min="16" max="17" width="9.140625" customWidth="1"/>
    <col min="18" max="18" width="8.28515625" customWidth="1"/>
    <col min="19" max="19" width="9.140625" customWidth="1"/>
    <col min="20" max="20" width="9.28515625" customWidth="1"/>
    <col min="21" max="21" width="2" customWidth="1"/>
    <col min="22" max="22" width="0.85546875" customWidth="1"/>
  </cols>
  <sheetData>
    <row r="1" spans="1:22 15054:15055" ht="5.25" customHeight="1" x14ac:dyDescent="0.25">
      <c r="A1" s="1"/>
      <c r="B1" s="1" t="s">
        <v>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 15054:15055" ht="1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6" t="s">
        <v>209</v>
      </c>
      <c r="U2" s="5"/>
      <c r="V2" s="1"/>
      <c r="VFZ2" s="151" t="s">
        <v>162</v>
      </c>
      <c r="VGA2" s="151" t="s">
        <v>163</v>
      </c>
    </row>
    <row r="3" spans="1:22 15054:15055" ht="15" customHeight="1" x14ac:dyDescent="0.25">
      <c r="A3" s="1"/>
      <c r="B3" s="3"/>
      <c r="C3" s="3"/>
      <c r="F3" s="304" t="s">
        <v>1</v>
      </c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4"/>
      <c r="S3" s="3"/>
      <c r="T3" s="3"/>
      <c r="U3" s="3"/>
      <c r="V3" s="1"/>
    </row>
    <row r="4" spans="1:22 15054:15055" ht="15" customHeight="1" x14ac:dyDescent="0.25">
      <c r="A4" s="1"/>
      <c r="B4" s="3"/>
      <c r="C4" s="3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V4" s="1"/>
    </row>
    <row r="5" spans="1:22 15054:15055" ht="10.5" customHeight="1" x14ac:dyDescent="0.25">
      <c r="A5" s="1"/>
      <c r="B5" s="3"/>
      <c r="C5" s="3"/>
      <c r="J5" s="119"/>
      <c r="K5" s="119"/>
      <c r="L5" s="119"/>
      <c r="M5" s="119"/>
      <c r="N5" s="119"/>
      <c r="O5" s="119"/>
      <c r="P5" s="3"/>
      <c r="Q5" s="3"/>
      <c r="R5" s="4"/>
      <c r="S5" s="3"/>
      <c r="T5" s="3"/>
      <c r="U5" s="3"/>
      <c r="V5" s="1"/>
    </row>
    <row r="6" spans="1:22 15054:15055" ht="15" customHeight="1" x14ac:dyDescent="0.25">
      <c r="A6" s="1"/>
      <c r="B6" s="149" t="s">
        <v>160</v>
      </c>
      <c r="C6" s="3"/>
      <c r="J6" s="119"/>
      <c r="K6" s="119"/>
      <c r="L6" s="119"/>
      <c r="M6" s="119"/>
      <c r="N6" s="119"/>
      <c r="O6" s="119"/>
      <c r="P6" s="3"/>
      <c r="Q6" s="3"/>
      <c r="R6" s="4"/>
      <c r="S6" s="3"/>
      <c r="T6" s="3"/>
      <c r="U6" s="3"/>
      <c r="V6" s="1"/>
    </row>
    <row r="7" spans="1:22 15054:15055" ht="3.95" customHeight="1" x14ac:dyDescent="0.25">
      <c r="A7" s="1"/>
      <c r="B7" s="121"/>
      <c r="C7" s="121"/>
      <c r="D7" s="1"/>
      <c r="E7" s="1"/>
      <c r="F7" s="1"/>
      <c r="G7" s="1"/>
      <c r="H7" s="1"/>
      <c r="I7" s="1"/>
      <c r="J7" s="122"/>
      <c r="K7" s="122"/>
      <c r="L7" s="122"/>
      <c r="M7" s="122"/>
      <c r="N7" s="122"/>
      <c r="O7" s="122"/>
      <c r="P7" s="121"/>
      <c r="Q7" s="121"/>
      <c r="R7" s="123"/>
      <c r="S7" s="121"/>
      <c r="T7" s="121"/>
      <c r="U7" s="121"/>
      <c r="V7" s="1"/>
    </row>
    <row r="8" spans="1:22 15054:15055" ht="15" customHeight="1" x14ac:dyDescent="0.25">
      <c r="A8" s="1"/>
      <c r="V8" s="1"/>
    </row>
    <row r="9" spans="1:22 15054:15055" ht="15" customHeight="1" x14ac:dyDescent="0.3">
      <c r="A9" s="1"/>
      <c r="B9">
        <v>1</v>
      </c>
      <c r="C9" s="197">
        <v>1</v>
      </c>
      <c r="D9" s="242" t="s">
        <v>230</v>
      </c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48"/>
      <c r="Q9" s="148"/>
      <c r="R9" s="148"/>
      <c r="S9" s="148"/>
      <c r="T9" s="148"/>
      <c r="U9" s="148"/>
      <c r="V9" s="1"/>
    </row>
    <row r="10" spans="1:22 15054:15055" ht="15" customHeight="1" x14ac:dyDescent="0.25">
      <c r="A10" s="1"/>
      <c r="D10" s="305" t="s">
        <v>158</v>
      </c>
      <c r="E10" s="306"/>
      <c r="F10" s="306"/>
      <c r="G10" s="306"/>
      <c r="H10" s="306"/>
      <c r="V10" s="1"/>
    </row>
    <row r="11" spans="1:22 15054:15055" ht="15" customHeight="1" x14ac:dyDescent="0.25">
      <c r="A11" s="1"/>
      <c r="V11" s="1"/>
    </row>
    <row r="12" spans="1:22 15054:15055" ht="15" customHeight="1" x14ac:dyDescent="0.3">
      <c r="A12" s="1"/>
      <c r="B12">
        <v>2</v>
      </c>
      <c r="D12" s="150" t="s">
        <v>208</v>
      </c>
      <c r="V12" s="1"/>
    </row>
    <row r="13" spans="1:22 15054:15055" ht="15" customHeight="1" x14ac:dyDescent="0.25">
      <c r="A13" s="1"/>
      <c r="V13" s="1"/>
    </row>
    <row r="14" spans="1:22 15054:15055" ht="15" customHeight="1" x14ac:dyDescent="0.25">
      <c r="A14" s="1"/>
      <c r="V14" s="1"/>
    </row>
    <row r="15" spans="1:22 15054:15055" ht="15" customHeight="1" x14ac:dyDescent="0.25">
      <c r="A15" s="1"/>
      <c r="V15" s="1"/>
    </row>
    <row r="16" spans="1:22 15054:15055" ht="15" customHeight="1" x14ac:dyDescent="0.25">
      <c r="A16" s="1"/>
      <c r="V16" s="1"/>
    </row>
    <row r="17" spans="1:22" ht="15" customHeight="1" x14ac:dyDescent="0.25">
      <c r="A17" s="1"/>
      <c r="V17" s="1"/>
    </row>
    <row r="18" spans="1:22" ht="15" customHeight="1" x14ac:dyDescent="0.25">
      <c r="A18" s="1"/>
      <c r="V18" s="1"/>
    </row>
    <row r="19" spans="1:22" ht="15" customHeight="1" x14ac:dyDescent="0.25">
      <c r="A19" s="1"/>
      <c r="V19" s="1"/>
    </row>
    <row r="20" spans="1:22" ht="15" customHeight="1" x14ac:dyDescent="0.25">
      <c r="A20" s="1"/>
      <c r="V20" s="1"/>
    </row>
    <row r="21" spans="1:22" ht="15" customHeight="1" x14ac:dyDescent="0.25">
      <c r="A21" s="1"/>
      <c r="D21" s="305" t="s">
        <v>0</v>
      </c>
      <c r="E21" s="306"/>
      <c r="F21" s="306"/>
      <c r="G21" s="306"/>
      <c r="V21" s="1"/>
    </row>
    <row r="22" spans="1:22" ht="15" customHeight="1" x14ac:dyDescent="0.25">
      <c r="A22" s="1"/>
      <c r="V22" s="1"/>
    </row>
    <row r="23" spans="1:22" ht="3.7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</row>
    <row r="24" spans="1:22" ht="15" customHeight="1" x14ac:dyDescent="0.25"/>
    <row r="29" spans="1:22" x14ac:dyDescent="0.25">
      <c r="G29" s="118"/>
    </row>
  </sheetData>
  <sheetProtection formatCells="0" formatColumns="0" formatRows="0" insertHyperlinks="0" selectLockedCells="1" autoFilter="0" selectUnlockedCells="1"/>
  <mergeCells count="3">
    <mergeCell ref="F3:R4"/>
    <mergeCell ref="D10:H10"/>
    <mergeCell ref="D21:G21"/>
  </mergeCells>
  <hyperlinks>
    <hyperlink ref="F3:R4" r:id="rId1" display="QUICK GUIDE"/>
    <hyperlink ref="D10" r:id="rId2" tooltip="Enable Macros"/>
    <hyperlink ref="D21" r:id="rId3" tooltip="Click Here For Documentation"/>
  </hyperlinks>
  <pageMargins left="0.7" right="0.7" top="0.75" bottom="0.75" header="0.3" footer="0.3"/>
  <pageSetup paperSize="9" orientation="portrait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VGC15"/>
  <sheetViews>
    <sheetView showGridLines="0" showRowColHeaders="0" tabSelected="1" topLeftCell="G6" zoomScaleNormal="100" workbookViewId="0">
      <selection activeCell="AH18" sqref="AH18"/>
    </sheetView>
  </sheetViews>
  <sheetFormatPr defaultColWidth="0" defaultRowHeight="16.350000000000001" customHeight="1" x14ac:dyDescent="0.25"/>
  <cols>
    <col min="1" max="6" width="16.140625" hidden="1" customWidth="1"/>
    <col min="7" max="7" width="4.42578125" style="251" customWidth="1"/>
    <col min="8" max="8" width="40.7109375" style="7" customWidth="1"/>
    <col min="9" max="9" width="16.7109375" style="7" customWidth="1"/>
    <col min="10" max="13" width="15.140625" style="7" hidden="1" customWidth="1"/>
    <col min="14" max="15" width="14.7109375" style="203" customWidth="1"/>
    <col min="16" max="17" width="8.7109375" style="7" customWidth="1"/>
    <col min="18" max="28" width="0" style="7" hidden="1"/>
    <col min="29" max="84" width="2.7109375" customWidth="1"/>
  </cols>
  <sheetData>
    <row r="1" spans="1:2129 15008:15057" s="50" customFormat="1" ht="12.75" hidden="1" customHeight="1" x14ac:dyDescent="0.25">
      <c r="A1" s="50" t="s">
        <v>21</v>
      </c>
      <c r="B1" s="50" t="s">
        <v>76</v>
      </c>
      <c r="C1" t="s">
        <v>75</v>
      </c>
      <c r="D1" s="50" t="s">
        <v>74</v>
      </c>
      <c r="E1" s="50" t="s">
        <v>73</v>
      </c>
      <c r="F1" s="50" t="s">
        <v>72</v>
      </c>
      <c r="G1" s="245" t="s">
        <v>48</v>
      </c>
      <c r="H1" s="83" t="s">
        <v>47</v>
      </c>
      <c r="I1" s="82" t="s">
        <v>46</v>
      </c>
      <c r="J1" s="80" t="s">
        <v>45</v>
      </c>
      <c r="K1" s="82" t="s">
        <v>44</v>
      </c>
      <c r="L1" s="81" t="s">
        <v>43</v>
      </c>
      <c r="M1" s="80" t="s">
        <v>42</v>
      </c>
      <c r="N1" s="124" t="s">
        <v>41</v>
      </c>
      <c r="O1" s="124" t="s">
        <v>39</v>
      </c>
      <c r="P1" s="133" t="s">
        <v>37</v>
      </c>
      <c r="Q1" s="127" t="s">
        <v>36</v>
      </c>
      <c r="R1" s="81" t="s">
        <v>40</v>
      </c>
      <c r="S1" s="81" t="s">
        <v>38</v>
      </c>
      <c r="T1" s="80" t="s">
        <v>35</v>
      </c>
      <c r="U1" s="139" t="s">
        <v>34</v>
      </c>
      <c r="V1" s="139" t="s">
        <v>33</v>
      </c>
      <c r="W1" s="139" t="s">
        <v>32</v>
      </c>
      <c r="X1" s="79" t="s">
        <v>31</v>
      </c>
      <c r="Y1" s="38" t="s">
        <v>124</v>
      </c>
      <c r="Z1" s="38" t="s">
        <v>123</v>
      </c>
      <c r="AA1" s="38" t="s">
        <v>149</v>
      </c>
      <c r="AB1" s="38" t="s">
        <v>150</v>
      </c>
      <c r="AC1" s="52" t="s">
        <v>122</v>
      </c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 t="s">
        <v>121</v>
      </c>
      <c r="CG1" s="51"/>
      <c r="CCW1" s="50" t="s">
        <v>120</v>
      </c>
      <c r="VEF1" s="50" t="s">
        <v>119</v>
      </c>
      <c r="VEG1" s="50" t="s">
        <v>7</v>
      </c>
      <c r="VEH1" s="50" t="s">
        <v>9</v>
      </c>
      <c r="VEI1" s="50" t="s">
        <v>118</v>
      </c>
      <c r="VEJ1" s="50" t="s">
        <v>117</v>
      </c>
      <c r="VEK1" s="50" t="s">
        <v>159</v>
      </c>
      <c r="VEL1" s="50" t="s">
        <v>151</v>
      </c>
      <c r="VEM1" s="50" t="s">
        <v>152</v>
      </c>
      <c r="VEN1" s="50" t="s">
        <v>116</v>
      </c>
      <c r="VEO1" s="50" t="s">
        <v>115</v>
      </c>
      <c r="VEP1" s="50" t="s">
        <v>114</v>
      </c>
      <c r="VEQ1" s="50" t="s">
        <v>113</v>
      </c>
      <c r="VER1" s="50" t="s">
        <v>112</v>
      </c>
      <c r="VES1" s="50" t="s">
        <v>111</v>
      </c>
      <c r="VET1" s="50" t="s">
        <v>110</v>
      </c>
      <c r="VEU1" s="50" t="s">
        <v>109</v>
      </c>
      <c r="VEV1" s="50" t="s">
        <v>108</v>
      </c>
      <c r="VEW1" s="50" t="s">
        <v>107</v>
      </c>
      <c r="VEX1" s="50" t="s">
        <v>106</v>
      </c>
      <c r="VEY1" s="50" t="s">
        <v>105</v>
      </c>
      <c r="VEZ1" s="50" t="s">
        <v>104</v>
      </c>
      <c r="VFA1" s="50" t="s">
        <v>103</v>
      </c>
      <c r="VFB1" s="50" t="s">
        <v>102</v>
      </c>
      <c r="VFC1" s="50" t="s">
        <v>145</v>
      </c>
      <c r="VFD1" s="50" t="s">
        <v>101</v>
      </c>
      <c r="VFE1" s="50" t="s">
        <v>100</v>
      </c>
      <c r="VFF1" s="50" t="s">
        <v>99</v>
      </c>
      <c r="VFG1" s="50" t="s">
        <v>98</v>
      </c>
      <c r="VFH1" s="50" t="s">
        <v>97</v>
      </c>
      <c r="VFI1" s="50" t="s">
        <v>96</v>
      </c>
      <c r="VFJ1" s="50" t="s">
        <v>95</v>
      </c>
      <c r="VFK1" s="50" t="s">
        <v>94</v>
      </c>
      <c r="VFL1" s="50" t="s">
        <v>93</v>
      </c>
      <c r="VFM1" s="50" t="s">
        <v>92</v>
      </c>
      <c r="VFN1" s="50" t="s">
        <v>91</v>
      </c>
      <c r="VFO1" s="50" t="s">
        <v>90</v>
      </c>
      <c r="VFP1" s="50" t="s">
        <v>89</v>
      </c>
      <c r="VFQ1" s="50" t="s">
        <v>88</v>
      </c>
      <c r="VFR1" s="50" t="s">
        <v>87</v>
      </c>
      <c r="VFS1" s="50" t="s">
        <v>86</v>
      </c>
      <c r="VFT1" s="50" t="s">
        <v>85</v>
      </c>
      <c r="VFU1" s="50" t="s">
        <v>84</v>
      </c>
      <c r="VFV1" s="50" t="s">
        <v>83</v>
      </c>
      <c r="VFW1" s="50" t="s">
        <v>82</v>
      </c>
      <c r="VFX1" s="50" t="s">
        <v>136</v>
      </c>
      <c r="VFY1" s="50" t="s">
        <v>144</v>
      </c>
      <c r="VFZ1" s="50" t="s">
        <v>154</v>
      </c>
      <c r="VGA1" s="50" t="s">
        <v>155</v>
      </c>
      <c r="VGB1" s="50" t="s">
        <v>161</v>
      </c>
      <c r="VGC1" s="50" t="s">
        <v>192</v>
      </c>
    </row>
    <row r="2" spans="1:2129 15008:15057" s="50" customFormat="1" ht="12.75" hidden="1" customHeight="1" x14ac:dyDescent="0.2">
      <c r="A2" s="89" t="s">
        <v>81</v>
      </c>
      <c r="B2" s="89" t="s">
        <v>81</v>
      </c>
      <c r="C2" s="89" t="s">
        <v>81</v>
      </c>
      <c r="D2" s="89" t="s">
        <v>81</v>
      </c>
      <c r="E2" s="89" t="s">
        <v>81</v>
      </c>
      <c r="F2" s="89" t="s">
        <v>81</v>
      </c>
      <c r="G2" s="245" t="s">
        <v>81</v>
      </c>
      <c r="H2" s="83" t="s">
        <v>81</v>
      </c>
      <c r="I2" s="82" t="s">
        <v>81</v>
      </c>
      <c r="J2" s="80" t="s">
        <v>81</v>
      </c>
      <c r="K2" s="82" t="s">
        <v>81</v>
      </c>
      <c r="L2" s="81" t="s">
        <v>81</v>
      </c>
      <c r="M2" s="80" t="s">
        <v>81</v>
      </c>
      <c r="N2" s="124" t="s">
        <v>81</v>
      </c>
      <c r="O2" s="124" t="s">
        <v>81</v>
      </c>
      <c r="P2" s="133" t="s">
        <v>81</v>
      </c>
      <c r="Q2" s="128" t="s">
        <v>81</v>
      </c>
      <c r="R2" s="81" t="s">
        <v>81</v>
      </c>
      <c r="S2" s="81" t="s">
        <v>81</v>
      </c>
      <c r="T2" s="80" t="s">
        <v>81</v>
      </c>
      <c r="U2" s="133" t="s">
        <v>81</v>
      </c>
      <c r="V2" s="133" t="s">
        <v>81</v>
      </c>
      <c r="W2" s="133" t="s">
        <v>81</v>
      </c>
      <c r="X2" s="88" t="s">
        <v>81</v>
      </c>
      <c r="Y2" s="115" t="s">
        <v>81</v>
      </c>
      <c r="Z2" s="115" t="s">
        <v>81</v>
      </c>
      <c r="AA2" s="115" t="s">
        <v>81</v>
      </c>
      <c r="AB2" s="115" t="s">
        <v>81</v>
      </c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1"/>
      <c r="VEF2" s="86" t="b">
        <v>1</v>
      </c>
      <c r="VEG2" s="86">
        <v>0</v>
      </c>
      <c r="VEH2" s="86">
        <v>0</v>
      </c>
      <c r="VEI2" s="86"/>
      <c r="VEJ2" s="86">
        <v>0</v>
      </c>
      <c r="VEK2" s="86">
        <v>0</v>
      </c>
      <c r="VEL2" s="86">
        <v>0</v>
      </c>
      <c r="VEM2" s="86">
        <v>0</v>
      </c>
      <c r="VEN2" s="86" t="s">
        <v>11</v>
      </c>
      <c r="VEO2" s="86">
        <v>1</v>
      </c>
      <c r="VEP2" s="86" t="s">
        <v>80</v>
      </c>
      <c r="VEQ2" s="86">
        <v>1</v>
      </c>
      <c r="VER2" s="86">
        <v>1</v>
      </c>
      <c r="VES2" s="86">
        <v>1</v>
      </c>
      <c r="VET2" s="86">
        <v>1</v>
      </c>
      <c r="VEU2" s="86"/>
      <c r="VEV2" s="86">
        <v>1</v>
      </c>
      <c r="VEW2" s="86">
        <v>1</v>
      </c>
      <c r="VEX2" s="86">
        <v>1</v>
      </c>
      <c r="VEY2" s="86">
        <v>1</v>
      </c>
      <c r="VEZ2" s="86">
        <v>1</v>
      </c>
      <c r="VFA2" s="86"/>
      <c r="VFB2" s="86">
        <v>1</v>
      </c>
      <c r="VFC2" s="50" t="s">
        <v>146</v>
      </c>
      <c r="VFD2" s="86">
        <v>1</v>
      </c>
      <c r="VFE2" s="87">
        <v>16</v>
      </c>
      <c r="VFF2" s="86">
        <v>1</v>
      </c>
      <c r="VFG2" s="50">
        <v>1</v>
      </c>
      <c r="VFH2" s="50">
        <v>1</v>
      </c>
      <c r="VFI2" s="50" t="s">
        <v>213</v>
      </c>
      <c r="VFJ2" s="50">
        <v>0</v>
      </c>
      <c r="VFK2" s="50" t="s">
        <v>79</v>
      </c>
      <c r="VFL2" s="50">
        <v>1</v>
      </c>
      <c r="VFM2" s="50">
        <v>0</v>
      </c>
      <c r="VFN2" s="85" t="s">
        <v>231</v>
      </c>
      <c r="VFO2" s="85" t="s">
        <v>233</v>
      </c>
      <c r="VFP2" s="85" t="s">
        <v>214</v>
      </c>
      <c r="VFR2" s="50">
        <v>25</v>
      </c>
      <c r="VFS2" s="50">
        <v>10</v>
      </c>
      <c r="VFT2" s="50" t="s">
        <v>47</v>
      </c>
      <c r="VFU2" s="50">
        <v>0</v>
      </c>
      <c r="VFV2" s="50">
        <v>0</v>
      </c>
      <c r="VFW2" s="50">
        <v>0</v>
      </c>
      <c r="VFX2" s="60" t="s">
        <v>215</v>
      </c>
      <c r="VFY2" s="50" t="s">
        <v>216</v>
      </c>
      <c r="VFZ2" s="50" t="s">
        <v>156</v>
      </c>
      <c r="VGA2" s="50" t="s">
        <v>157</v>
      </c>
      <c r="VGB2" s="147"/>
      <c r="VGC2" s="50" t="s">
        <v>217</v>
      </c>
    </row>
    <row r="3" spans="1:2129 15008:15057" s="50" customFormat="1" ht="12.75" hidden="1" customHeight="1" x14ac:dyDescent="0.2">
      <c r="A3" s="86"/>
      <c r="G3" s="245" t="s">
        <v>242</v>
      </c>
      <c r="H3" s="83"/>
      <c r="I3" s="82"/>
      <c r="J3" s="80"/>
      <c r="K3" s="82"/>
      <c r="L3" s="81"/>
      <c r="M3" s="80"/>
      <c r="N3" s="124"/>
      <c r="O3" s="124"/>
      <c r="P3" s="133"/>
      <c r="Q3" s="127"/>
      <c r="R3" s="81"/>
      <c r="S3" s="81"/>
      <c r="T3" s="80"/>
      <c r="U3" s="139"/>
      <c r="V3" s="139"/>
      <c r="W3" s="139"/>
      <c r="X3" s="79"/>
      <c r="Y3" s="38"/>
      <c r="Z3" s="38"/>
      <c r="AA3" s="38"/>
      <c r="AB3" s="38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1"/>
    </row>
    <row r="4" spans="1:2129 15008:15057" s="50" customFormat="1" ht="12.75" hidden="1" customHeight="1" x14ac:dyDescent="0.2">
      <c r="G4" s="245" t="s">
        <v>242</v>
      </c>
      <c r="H4" s="83"/>
      <c r="I4" s="82"/>
      <c r="J4" s="80"/>
      <c r="K4" s="82"/>
      <c r="L4" s="81"/>
      <c r="M4" s="80"/>
      <c r="N4" s="124"/>
      <c r="O4" s="124"/>
      <c r="P4" s="133"/>
      <c r="Q4" s="127"/>
      <c r="R4" s="81"/>
      <c r="S4" s="81"/>
      <c r="T4" s="80"/>
      <c r="U4" s="139"/>
      <c r="V4" s="139"/>
      <c r="W4" s="139"/>
      <c r="X4" s="79"/>
      <c r="Y4" s="38"/>
      <c r="Z4" s="38"/>
      <c r="AA4" s="38"/>
      <c r="AB4" s="38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1"/>
    </row>
    <row r="5" spans="1:2129 15008:15057" s="50" customFormat="1" ht="12.75" hidden="1" customHeight="1" x14ac:dyDescent="0.2">
      <c r="G5" s="245" t="s">
        <v>242</v>
      </c>
      <c r="H5" s="83"/>
      <c r="I5" s="82"/>
      <c r="J5" s="80"/>
      <c r="K5" s="82"/>
      <c r="L5" s="81"/>
      <c r="M5" s="80"/>
      <c r="N5" s="124"/>
      <c r="O5" s="124"/>
      <c r="P5" s="133"/>
      <c r="Q5" s="127"/>
      <c r="R5" s="81"/>
      <c r="S5" s="81"/>
      <c r="T5" s="80"/>
      <c r="U5" s="139"/>
      <c r="V5" s="139"/>
      <c r="W5" s="139"/>
      <c r="X5" s="79"/>
      <c r="Y5" s="38"/>
      <c r="Z5" s="38"/>
      <c r="AA5" s="38"/>
      <c r="AB5" s="38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1"/>
    </row>
    <row r="6" spans="1:2129 15008:15057" ht="27" customHeight="1" x14ac:dyDescent="0.25">
      <c r="A6" s="50"/>
      <c r="B6" s="50"/>
      <c r="C6" s="50"/>
      <c r="D6" s="50"/>
      <c r="E6" s="50"/>
      <c r="F6" s="50"/>
      <c r="G6" s="246" t="s">
        <v>236</v>
      </c>
      <c r="H6" s="221"/>
      <c r="I6" s="221"/>
      <c r="J6" s="222"/>
      <c r="K6" s="221"/>
      <c r="L6" s="221"/>
      <c r="M6" s="222"/>
      <c r="N6" s="223"/>
      <c r="O6" s="223"/>
      <c r="P6" s="224"/>
      <c r="Q6" s="225"/>
      <c r="R6" s="221"/>
      <c r="S6" s="221"/>
      <c r="T6" s="222"/>
      <c r="U6" s="224"/>
      <c r="V6" s="224"/>
      <c r="W6" s="224"/>
      <c r="X6" s="221"/>
      <c r="Y6" s="221"/>
      <c r="Z6" s="221"/>
      <c r="AA6" s="221"/>
      <c r="AB6" s="221"/>
      <c r="AC6" s="243">
        <v>43500</v>
      </c>
      <c r="AD6" s="243">
        <v>43501</v>
      </c>
      <c r="AE6" s="243">
        <v>43502</v>
      </c>
      <c r="AF6" s="243">
        <v>43503</v>
      </c>
      <c r="AG6" s="243">
        <v>43504</v>
      </c>
      <c r="AH6" s="243">
        <v>43505</v>
      </c>
      <c r="AI6" s="243">
        <v>43506</v>
      </c>
      <c r="AJ6" s="243">
        <v>43507</v>
      </c>
      <c r="AK6" s="243">
        <v>43508</v>
      </c>
      <c r="AL6" s="243">
        <v>43509</v>
      </c>
      <c r="AM6" s="243">
        <v>43510</v>
      </c>
      <c r="AN6" s="243">
        <v>43511</v>
      </c>
      <c r="AO6" s="243">
        <v>43512</v>
      </c>
      <c r="AP6" s="243">
        <v>43513</v>
      </c>
      <c r="AQ6" s="243">
        <v>43514</v>
      </c>
      <c r="AR6" s="243">
        <v>43515</v>
      </c>
      <c r="AS6" s="243">
        <v>43516</v>
      </c>
      <c r="AT6" s="243">
        <v>43517</v>
      </c>
      <c r="AU6" s="243">
        <v>43518</v>
      </c>
      <c r="AV6" s="243">
        <v>43519</v>
      </c>
      <c r="AW6" s="243">
        <v>43520</v>
      </c>
      <c r="AX6" s="243">
        <v>43521</v>
      </c>
      <c r="AY6" s="243">
        <v>43522</v>
      </c>
      <c r="AZ6" s="243">
        <v>43523</v>
      </c>
      <c r="BA6" s="243">
        <v>43524</v>
      </c>
      <c r="BB6" s="243">
        <v>43525</v>
      </c>
      <c r="BC6" s="243">
        <v>43526</v>
      </c>
      <c r="BD6" s="243">
        <v>43527</v>
      </c>
      <c r="BE6" s="243">
        <v>43528</v>
      </c>
      <c r="BF6" s="243">
        <v>43529</v>
      </c>
      <c r="BG6" s="243">
        <v>43530</v>
      </c>
      <c r="BH6" s="243">
        <v>43531</v>
      </c>
      <c r="BI6" s="243">
        <v>43532</v>
      </c>
      <c r="BJ6" s="243">
        <v>43533</v>
      </c>
      <c r="BK6" s="243">
        <v>43534</v>
      </c>
      <c r="BL6" s="243">
        <v>43535</v>
      </c>
      <c r="BM6" s="243">
        <v>43536</v>
      </c>
      <c r="BN6" s="243">
        <v>43537</v>
      </c>
      <c r="BO6" s="243">
        <v>43538</v>
      </c>
      <c r="BP6" s="243">
        <v>43539</v>
      </c>
      <c r="BQ6" s="243">
        <v>43540</v>
      </c>
      <c r="BR6" s="243">
        <v>43541</v>
      </c>
      <c r="BS6" s="243">
        <v>43542</v>
      </c>
      <c r="BT6" s="243">
        <v>43543</v>
      </c>
      <c r="BU6" s="243">
        <v>43544</v>
      </c>
      <c r="BV6" s="243">
        <v>43545</v>
      </c>
      <c r="BW6" s="243">
        <v>43546</v>
      </c>
      <c r="BX6" s="243">
        <v>43547</v>
      </c>
      <c r="BY6" s="243">
        <v>43548</v>
      </c>
      <c r="BZ6" s="243">
        <v>43549</v>
      </c>
      <c r="CA6" s="243">
        <v>43550</v>
      </c>
      <c r="CB6" s="243">
        <v>43551</v>
      </c>
      <c r="CC6" s="243">
        <v>43552</v>
      </c>
      <c r="CD6" s="243">
        <v>43553</v>
      </c>
      <c r="CE6" s="243">
        <v>43554</v>
      </c>
      <c r="CF6" s="243">
        <v>43555</v>
      </c>
      <c r="CG6" s="244">
        <v>43556</v>
      </c>
    </row>
    <row r="7" spans="1:2129 15008:15057" ht="14.1" customHeight="1" x14ac:dyDescent="0.25">
      <c r="A7" s="204"/>
      <c r="B7" s="204"/>
      <c r="C7" s="204"/>
      <c r="D7" s="204"/>
      <c r="E7" s="204"/>
      <c r="F7" s="204"/>
      <c r="G7" s="247" t="s">
        <v>218</v>
      </c>
      <c r="H7" s="205"/>
      <c r="I7" s="206"/>
      <c r="J7" s="207"/>
      <c r="K7" s="206"/>
      <c r="L7" s="208"/>
      <c r="M7" s="209"/>
      <c r="N7" s="210"/>
      <c r="O7" s="210"/>
      <c r="P7" s="211"/>
      <c r="Q7" s="212"/>
      <c r="R7" s="208"/>
      <c r="S7" s="208"/>
      <c r="T7" s="209"/>
      <c r="U7" s="213"/>
      <c r="V7" s="213"/>
      <c r="W7" s="213"/>
      <c r="X7" s="214"/>
      <c r="Y7" s="214"/>
      <c r="Z7" s="214"/>
      <c r="AA7" s="214"/>
      <c r="AB7" s="214"/>
      <c r="AC7" s="237" t="s">
        <v>224</v>
      </c>
      <c r="AD7" s="237"/>
      <c r="AE7" s="237"/>
      <c r="AF7" s="237"/>
      <c r="AG7" s="237"/>
      <c r="AH7" s="237"/>
      <c r="AI7" s="237"/>
      <c r="AJ7" s="238" t="s">
        <v>225</v>
      </c>
      <c r="AK7" s="238"/>
      <c r="AL7" s="238"/>
      <c r="AM7" s="238"/>
      <c r="AN7" s="238"/>
      <c r="AO7" s="238"/>
      <c r="AP7" s="238"/>
      <c r="AQ7" s="237" t="s">
        <v>226</v>
      </c>
      <c r="AR7" s="237"/>
      <c r="AS7" s="237"/>
      <c r="AT7" s="237"/>
      <c r="AU7" s="237"/>
      <c r="AV7" s="237"/>
      <c r="AW7" s="237"/>
      <c r="AX7" s="238" t="s">
        <v>227</v>
      </c>
      <c r="AY7" s="238"/>
      <c r="AZ7" s="238"/>
      <c r="BA7" s="238"/>
      <c r="BB7" s="238"/>
      <c r="BC7" s="238"/>
      <c r="BD7" s="238"/>
      <c r="BE7" s="237" t="s">
        <v>228</v>
      </c>
      <c r="BF7" s="237"/>
      <c r="BG7" s="237"/>
      <c r="BH7" s="237"/>
      <c r="BI7" s="237"/>
      <c r="BJ7" s="237"/>
      <c r="BK7" s="237"/>
      <c r="BL7" s="238" t="s">
        <v>229</v>
      </c>
      <c r="BM7" s="238"/>
      <c r="BN7" s="238"/>
      <c r="BO7" s="238"/>
      <c r="BP7" s="238"/>
      <c r="BQ7" s="238"/>
      <c r="BR7" s="238"/>
      <c r="BS7" s="237" t="s">
        <v>234</v>
      </c>
      <c r="BT7" s="237"/>
      <c r="BU7" s="237"/>
      <c r="BV7" s="237"/>
      <c r="BW7" s="237"/>
      <c r="BX7" s="237"/>
      <c r="BY7" s="237"/>
      <c r="BZ7" s="238" t="s">
        <v>235</v>
      </c>
      <c r="CA7" s="238"/>
      <c r="CB7" s="238"/>
      <c r="CC7" s="238"/>
      <c r="CD7" s="238"/>
      <c r="CE7" s="238"/>
      <c r="CF7" s="238"/>
    </row>
    <row r="8" spans="1:2129 15008:15057" ht="14.1" customHeight="1" x14ac:dyDescent="0.25">
      <c r="A8" s="204"/>
      <c r="B8" s="204"/>
      <c r="C8" s="204"/>
      <c r="D8" s="204"/>
      <c r="E8" s="204"/>
      <c r="F8" s="204"/>
      <c r="G8" s="248" t="s">
        <v>219</v>
      </c>
      <c r="H8" s="215"/>
      <c r="I8" s="215"/>
      <c r="J8" s="216"/>
      <c r="K8" s="215"/>
      <c r="L8" s="215"/>
      <c r="M8" s="216"/>
      <c r="N8" s="217"/>
      <c r="O8" s="217"/>
      <c r="P8" s="218"/>
      <c r="Q8" s="219"/>
      <c r="R8" s="215"/>
      <c r="S8" s="215"/>
      <c r="T8" s="216"/>
      <c r="U8" s="218"/>
      <c r="V8" s="218"/>
      <c r="W8" s="218"/>
      <c r="X8" s="215"/>
      <c r="Y8" s="215"/>
      <c r="Z8" s="215"/>
      <c r="AA8" s="215"/>
      <c r="AB8" s="235"/>
      <c r="AC8" s="239">
        <v>4</v>
      </c>
      <c r="AD8" s="239">
        <v>5</v>
      </c>
      <c r="AE8" s="239">
        <v>6</v>
      </c>
      <c r="AF8" s="239">
        <v>7</v>
      </c>
      <c r="AG8" s="239">
        <v>8</v>
      </c>
      <c r="AH8" s="239">
        <v>9</v>
      </c>
      <c r="AI8" s="239">
        <v>10</v>
      </c>
      <c r="AJ8" s="239">
        <v>11</v>
      </c>
      <c r="AK8" s="239">
        <v>12</v>
      </c>
      <c r="AL8" s="239">
        <v>13</v>
      </c>
      <c r="AM8" s="239">
        <v>14</v>
      </c>
      <c r="AN8" s="239">
        <v>15</v>
      </c>
      <c r="AO8" s="239">
        <v>16</v>
      </c>
      <c r="AP8" s="239">
        <v>17</v>
      </c>
      <c r="AQ8" s="239">
        <v>18</v>
      </c>
      <c r="AR8" s="239">
        <v>19</v>
      </c>
      <c r="AS8" s="239">
        <v>20</v>
      </c>
      <c r="AT8" s="239">
        <v>21</v>
      </c>
      <c r="AU8" s="239">
        <v>22</v>
      </c>
      <c r="AV8" s="239">
        <v>23</v>
      </c>
      <c r="AW8" s="239">
        <v>24</v>
      </c>
      <c r="AX8" s="239">
        <v>25</v>
      </c>
      <c r="AY8" s="239">
        <v>26</v>
      </c>
      <c r="AZ8" s="239">
        <v>27</v>
      </c>
      <c r="BA8" s="239">
        <v>28</v>
      </c>
      <c r="BB8" s="239">
        <v>1</v>
      </c>
      <c r="BC8" s="239">
        <v>2</v>
      </c>
      <c r="BD8" s="239">
        <v>3</v>
      </c>
      <c r="BE8" s="239">
        <v>4</v>
      </c>
      <c r="BF8" s="239">
        <v>5</v>
      </c>
      <c r="BG8" s="239">
        <v>6</v>
      </c>
      <c r="BH8" s="239">
        <v>7</v>
      </c>
      <c r="BI8" s="239">
        <v>8</v>
      </c>
      <c r="BJ8" s="239">
        <v>9</v>
      </c>
      <c r="BK8" s="239">
        <v>10</v>
      </c>
      <c r="BL8" s="239">
        <v>11</v>
      </c>
      <c r="BM8" s="239">
        <v>12</v>
      </c>
      <c r="BN8" s="239">
        <v>13</v>
      </c>
      <c r="BO8" s="239">
        <v>14</v>
      </c>
      <c r="BP8" s="239">
        <v>15</v>
      </c>
      <c r="BQ8" s="239">
        <v>16</v>
      </c>
      <c r="BR8" s="239">
        <v>17</v>
      </c>
      <c r="BS8" s="239">
        <v>18</v>
      </c>
      <c r="BT8" s="239">
        <v>19</v>
      </c>
      <c r="BU8" s="239">
        <v>20</v>
      </c>
      <c r="BV8" s="239">
        <v>21</v>
      </c>
      <c r="BW8" s="239">
        <v>22</v>
      </c>
      <c r="BX8" s="239">
        <v>23</v>
      </c>
      <c r="BY8" s="239">
        <v>24</v>
      </c>
      <c r="BZ8" s="239">
        <v>25</v>
      </c>
      <c r="CA8" s="239">
        <v>26</v>
      </c>
      <c r="CB8" s="239">
        <v>27</v>
      </c>
      <c r="CC8" s="239">
        <v>28</v>
      </c>
      <c r="CD8" s="239">
        <v>29</v>
      </c>
      <c r="CE8" s="239">
        <v>30</v>
      </c>
      <c r="CF8" s="239">
        <v>31</v>
      </c>
    </row>
    <row r="9" spans="1:2129 15008:15057" ht="23.25" customHeight="1" x14ac:dyDescent="0.25">
      <c r="A9" s="220" t="s">
        <v>21</v>
      </c>
      <c r="B9" s="220" t="s">
        <v>76</v>
      </c>
      <c r="C9" s="220" t="s">
        <v>75</v>
      </c>
      <c r="D9" s="220" t="s">
        <v>74</v>
      </c>
      <c r="E9" s="220" t="s">
        <v>73</v>
      </c>
      <c r="F9" s="220" t="s">
        <v>72</v>
      </c>
      <c r="G9" s="249" t="s">
        <v>48</v>
      </c>
      <c r="H9" s="226" t="s">
        <v>71</v>
      </c>
      <c r="I9" s="227" t="s">
        <v>70</v>
      </c>
      <c r="J9" s="228" t="s">
        <v>69</v>
      </c>
      <c r="K9" s="227" t="s">
        <v>68</v>
      </c>
      <c r="L9" s="229" t="s">
        <v>67</v>
      </c>
      <c r="M9" s="230" t="s">
        <v>66</v>
      </c>
      <c r="N9" s="231" t="s">
        <v>65</v>
      </c>
      <c r="O9" s="229" t="s">
        <v>64</v>
      </c>
      <c r="P9" s="230" t="s">
        <v>63</v>
      </c>
      <c r="Q9" s="232" t="s">
        <v>142</v>
      </c>
      <c r="R9" s="231" t="s">
        <v>62</v>
      </c>
      <c r="S9" s="229" t="s">
        <v>61</v>
      </c>
      <c r="T9" s="230" t="s">
        <v>60</v>
      </c>
      <c r="U9" s="228" t="s">
        <v>59</v>
      </c>
      <c r="V9" s="228" t="s">
        <v>58</v>
      </c>
      <c r="W9" s="228" t="s">
        <v>5</v>
      </c>
      <c r="X9" s="232" t="s">
        <v>31</v>
      </c>
      <c r="Y9" s="232" t="s">
        <v>57</v>
      </c>
      <c r="Z9" s="232" t="s">
        <v>56</v>
      </c>
      <c r="AA9" s="233" t="s">
        <v>147</v>
      </c>
      <c r="AB9" s="236" t="s">
        <v>148</v>
      </c>
      <c r="AC9" s="240" t="s">
        <v>220</v>
      </c>
      <c r="AD9" s="240" t="s">
        <v>55</v>
      </c>
      <c r="AE9" s="240" t="s">
        <v>221</v>
      </c>
      <c r="AF9" s="240" t="s">
        <v>55</v>
      </c>
      <c r="AG9" s="240" t="s">
        <v>222</v>
      </c>
      <c r="AH9" s="241" t="s">
        <v>223</v>
      </c>
      <c r="AI9" s="241" t="s">
        <v>223</v>
      </c>
      <c r="AJ9" s="240" t="s">
        <v>220</v>
      </c>
      <c r="AK9" s="240" t="s">
        <v>55</v>
      </c>
      <c r="AL9" s="240" t="s">
        <v>221</v>
      </c>
      <c r="AM9" s="240" t="s">
        <v>55</v>
      </c>
      <c r="AN9" s="240" t="s">
        <v>222</v>
      </c>
      <c r="AO9" s="241" t="s">
        <v>223</v>
      </c>
      <c r="AP9" s="241" t="s">
        <v>223</v>
      </c>
      <c r="AQ9" s="240" t="s">
        <v>220</v>
      </c>
      <c r="AR9" s="240" t="s">
        <v>55</v>
      </c>
      <c r="AS9" s="240" t="s">
        <v>221</v>
      </c>
      <c r="AT9" s="240" t="s">
        <v>55</v>
      </c>
      <c r="AU9" s="240" t="s">
        <v>222</v>
      </c>
      <c r="AV9" s="241" t="s">
        <v>223</v>
      </c>
      <c r="AW9" s="241" t="s">
        <v>223</v>
      </c>
      <c r="AX9" s="240" t="s">
        <v>220</v>
      </c>
      <c r="AY9" s="240" t="s">
        <v>55</v>
      </c>
      <c r="AZ9" s="240" t="s">
        <v>221</v>
      </c>
      <c r="BA9" s="240" t="s">
        <v>55</v>
      </c>
      <c r="BB9" s="240" t="s">
        <v>222</v>
      </c>
      <c r="BC9" s="241" t="s">
        <v>223</v>
      </c>
      <c r="BD9" s="241" t="s">
        <v>223</v>
      </c>
      <c r="BE9" s="240" t="s">
        <v>220</v>
      </c>
      <c r="BF9" s="240" t="s">
        <v>55</v>
      </c>
      <c r="BG9" s="240" t="s">
        <v>221</v>
      </c>
      <c r="BH9" s="240" t="s">
        <v>55</v>
      </c>
      <c r="BI9" s="240" t="s">
        <v>222</v>
      </c>
      <c r="BJ9" s="241" t="s">
        <v>223</v>
      </c>
      <c r="BK9" s="241" t="s">
        <v>223</v>
      </c>
      <c r="BL9" s="240" t="s">
        <v>220</v>
      </c>
      <c r="BM9" s="240" t="s">
        <v>55</v>
      </c>
      <c r="BN9" s="240" t="s">
        <v>221</v>
      </c>
      <c r="BO9" s="240" t="s">
        <v>55</v>
      </c>
      <c r="BP9" s="240" t="s">
        <v>222</v>
      </c>
      <c r="BQ9" s="241" t="s">
        <v>223</v>
      </c>
      <c r="BR9" s="241" t="s">
        <v>223</v>
      </c>
      <c r="BS9" s="240" t="s">
        <v>220</v>
      </c>
      <c r="BT9" s="240" t="s">
        <v>55</v>
      </c>
      <c r="BU9" s="240" t="s">
        <v>221</v>
      </c>
      <c r="BV9" s="240" t="s">
        <v>55</v>
      </c>
      <c r="BW9" s="240" t="s">
        <v>222</v>
      </c>
      <c r="BX9" s="241" t="s">
        <v>223</v>
      </c>
      <c r="BY9" s="241" t="s">
        <v>223</v>
      </c>
      <c r="BZ9" s="240" t="s">
        <v>220</v>
      </c>
      <c r="CA9" s="240" t="s">
        <v>55</v>
      </c>
      <c r="CB9" s="240" t="s">
        <v>221</v>
      </c>
      <c r="CC9" s="240" t="s">
        <v>55</v>
      </c>
      <c r="CD9" s="240" t="s">
        <v>222</v>
      </c>
      <c r="CE9" s="241" t="s">
        <v>223</v>
      </c>
      <c r="CF9" s="241" t="s">
        <v>223</v>
      </c>
      <c r="CG9" s="234"/>
      <c r="CH9" s="234"/>
      <c r="CI9" s="234"/>
      <c r="CJ9" s="234"/>
      <c r="CK9" s="234"/>
      <c r="CL9" s="234"/>
      <c r="CM9" s="234"/>
      <c r="CN9" s="234"/>
      <c r="CO9" s="234"/>
      <c r="CP9" s="234"/>
      <c r="CQ9" s="234"/>
      <c r="CR9" s="234"/>
      <c r="CS9" s="234"/>
      <c r="CT9" s="234"/>
      <c r="CU9" s="234"/>
      <c r="CV9" s="234"/>
      <c r="CW9" s="234"/>
      <c r="CX9" s="234"/>
      <c r="CY9" s="234"/>
      <c r="CZ9" s="234"/>
      <c r="DA9" s="234"/>
      <c r="DB9" s="234"/>
      <c r="DC9" s="234"/>
      <c r="DD9" s="234"/>
      <c r="DE9" s="234"/>
      <c r="DF9" s="234"/>
      <c r="DG9" s="234"/>
      <c r="DH9" s="234"/>
      <c r="DI9" s="234"/>
      <c r="DJ9" s="234"/>
      <c r="DK9" s="234"/>
      <c r="DL9" s="234"/>
      <c r="DM9" s="234"/>
      <c r="DN9" s="234"/>
      <c r="DO9" s="234"/>
      <c r="DP9" s="234"/>
      <c r="DQ9" s="234"/>
      <c r="DR9" s="234"/>
      <c r="DS9" s="234"/>
      <c r="DT9" s="234"/>
      <c r="DU9" s="234"/>
      <c r="DV9" s="234"/>
      <c r="DW9" s="234"/>
      <c r="DX9" s="234"/>
      <c r="DY9" s="234"/>
      <c r="DZ9" s="234"/>
      <c r="EA9" s="234"/>
      <c r="EB9" s="234"/>
      <c r="EC9" s="234"/>
      <c r="ED9" s="234"/>
      <c r="EE9" s="234"/>
      <c r="EF9" s="234"/>
      <c r="EG9" s="234"/>
      <c r="EH9" s="234"/>
      <c r="EI9" s="234"/>
      <c r="EJ9" s="234"/>
      <c r="EK9" s="234"/>
      <c r="EL9" s="234"/>
      <c r="EM9" s="234"/>
      <c r="EN9" s="234"/>
      <c r="EO9" s="234"/>
      <c r="EP9" s="234"/>
      <c r="EQ9" s="234"/>
      <c r="ER9" s="234"/>
      <c r="ES9" s="234"/>
      <c r="ET9" s="234"/>
      <c r="EU9" s="234"/>
      <c r="EV9" s="234"/>
      <c r="EW9" s="234"/>
      <c r="EX9" s="234"/>
      <c r="EY9" s="234"/>
      <c r="EZ9" s="234"/>
      <c r="FA9" s="234"/>
      <c r="FB9" s="234"/>
      <c r="FC9" s="234"/>
      <c r="FD9" s="234"/>
      <c r="FE9" s="234"/>
      <c r="FF9" s="234"/>
      <c r="FG9" s="234"/>
      <c r="FH9" s="234"/>
      <c r="FI9" s="234"/>
      <c r="FJ9" s="234"/>
      <c r="FK9" s="234"/>
      <c r="FL9" s="234"/>
      <c r="FM9" s="234"/>
      <c r="FN9" s="234"/>
      <c r="FO9" s="234"/>
      <c r="FP9" s="234"/>
      <c r="FQ9" s="234"/>
      <c r="FR9" s="234"/>
      <c r="FS9" s="234"/>
      <c r="FT9" s="234"/>
      <c r="FU9" s="234"/>
      <c r="FV9" s="234"/>
      <c r="FW9" s="234"/>
      <c r="FX9" s="234"/>
      <c r="FY9" s="234"/>
      <c r="FZ9" s="234"/>
      <c r="GA9" s="234"/>
      <c r="GB9" s="234"/>
      <c r="GC9" s="234"/>
      <c r="GD9" s="234"/>
      <c r="GE9" s="234"/>
      <c r="GF9" s="234"/>
      <c r="GG9" s="234"/>
      <c r="GH9" s="234"/>
      <c r="GI9" s="234"/>
      <c r="GJ9" s="234"/>
      <c r="GK9" s="234"/>
      <c r="GL9" s="234"/>
      <c r="GM9" s="234"/>
      <c r="GN9" s="234"/>
      <c r="GO9" s="234"/>
      <c r="GP9" s="234"/>
      <c r="GQ9" s="234"/>
      <c r="GR9" s="234"/>
      <c r="GS9" s="234"/>
      <c r="GT9" s="234"/>
      <c r="GU9" s="234"/>
      <c r="GV9" s="234"/>
      <c r="GW9" s="234"/>
      <c r="GX9" s="234"/>
      <c r="GY9" s="234"/>
      <c r="GZ9" s="234"/>
      <c r="HA9" s="234"/>
      <c r="HB9" s="234"/>
      <c r="HC9" s="234"/>
      <c r="HD9" s="234"/>
      <c r="HE9" s="234"/>
      <c r="HF9" s="234"/>
      <c r="HG9" s="234"/>
      <c r="HH9" s="234"/>
      <c r="HI9" s="234"/>
      <c r="HJ9" s="234"/>
      <c r="HK9" s="234"/>
      <c r="HL9" s="234"/>
      <c r="HM9" s="234"/>
      <c r="HN9" s="234"/>
      <c r="HO9" s="234"/>
      <c r="HP9" s="234"/>
      <c r="HQ9" s="234"/>
      <c r="HR9" s="234"/>
      <c r="HS9" s="234"/>
      <c r="HT9" s="234"/>
      <c r="HU9" s="234"/>
      <c r="HV9" s="234"/>
      <c r="HW9" s="234"/>
      <c r="HX9" s="234"/>
      <c r="HY9" s="234"/>
      <c r="HZ9" s="234"/>
      <c r="IA9" s="234"/>
      <c r="IB9" s="234"/>
      <c r="IC9" s="234"/>
      <c r="ID9" s="234"/>
      <c r="IE9" s="234"/>
      <c r="IF9" s="234"/>
      <c r="IG9" s="234"/>
      <c r="IH9" s="234"/>
      <c r="II9" s="234"/>
      <c r="IJ9" s="234"/>
      <c r="IK9" s="234"/>
      <c r="IL9" s="234"/>
      <c r="IM9" s="234"/>
      <c r="IN9" s="234"/>
      <c r="IO9" s="234"/>
      <c r="IP9" s="234"/>
      <c r="IQ9" s="234"/>
      <c r="IR9" s="234"/>
      <c r="IS9" s="234"/>
      <c r="IT9" s="234"/>
      <c r="IU9" s="234"/>
      <c r="IV9" s="234"/>
      <c r="IW9" s="234"/>
      <c r="IX9" s="234"/>
      <c r="IY9" s="234"/>
      <c r="IZ9" s="234"/>
      <c r="JA9" s="234"/>
      <c r="JB9" s="234"/>
      <c r="JC9" s="234"/>
      <c r="JD9" s="234"/>
      <c r="JE9" s="234"/>
      <c r="JF9" s="234"/>
      <c r="JG9" s="234"/>
      <c r="JH9" s="234"/>
      <c r="JI9" s="234"/>
      <c r="JJ9" s="234"/>
      <c r="JK9" s="234"/>
      <c r="JL9" s="234"/>
      <c r="JM9" s="234"/>
      <c r="JN9" s="234"/>
      <c r="JO9" s="234"/>
      <c r="JP9" s="234"/>
      <c r="JQ9" s="234"/>
      <c r="JR9" s="234"/>
      <c r="JS9" s="234"/>
      <c r="JT9" s="234"/>
      <c r="JU9" s="234"/>
      <c r="JV9" s="234"/>
      <c r="JW9" s="234"/>
      <c r="JX9" s="234"/>
      <c r="JY9" s="234"/>
      <c r="JZ9" s="234"/>
      <c r="KA9" s="234"/>
      <c r="KB9" s="234"/>
      <c r="KC9" s="234"/>
      <c r="KD9" s="234"/>
      <c r="KE9" s="234"/>
      <c r="KF9" s="234"/>
      <c r="KG9" s="234"/>
      <c r="KH9" s="234"/>
      <c r="KI9" s="234"/>
      <c r="KJ9" s="234"/>
      <c r="KK9" s="234"/>
      <c r="KL9" s="234"/>
      <c r="KM9" s="234"/>
      <c r="KN9" s="234"/>
      <c r="KO9" s="234"/>
      <c r="KP9" s="234"/>
      <c r="KQ9" s="234"/>
      <c r="KR9" s="234"/>
      <c r="KS9" s="234"/>
      <c r="KT9" s="234"/>
      <c r="KU9" s="234"/>
      <c r="KV9" s="234"/>
      <c r="KW9" s="234"/>
      <c r="KX9" s="234"/>
      <c r="KY9" s="234"/>
      <c r="KZ9" s="234"/>
      <c r="LA9" s="234"/>
      <c r="LB9" s="234"/>
      <c r="LC9" s="234"/>
      <c r="LD9" s="234"/>
      <c r="LE9" s="234"/>
      <c r="LF9" s="234"/>
      <c r="LG9" s="234"/>
      <c r="LH9" s="234"/>
      <c r="LI9" s="234"/>
      <c r="LJ9" s="234"/>
      <c r="LK9" s="234"/>
      <c r="LL9" s="234"/>
      <c r="LM9" s="234"/>
      <c r="LN9" s="234"/>
      <c r="LO9" s="234"/>
      <c r="LP9" s="234"/>
      <c r="LQ9" s="234"/>
      <c r="LR9" s="234"/>
      <c r="LS9" s="234"/>
      <c r="LT9" s="234"/>
      <c r="LU9" s="234"/>
      <c r="LV9" s="234"/>
      <c r="LW9" s="234"/>
      <c r="LX9" s="234"/>
      <c r="LY9" s="234"/>
      <c r="LZ9" s="234"/>
      <c r="MA9" s="234"/>
      <c r="MB9" s="234"/>
      <c r="MC9" s="234"/>
      <c r="MD9" s="234"/>
      <c r="ME9" s="234"/>
      <c r="MF9" s="234"/>
      <c r="MG9" s="234"/>
      <c r="MH9" s="234"/>
      <c r="MI9" s="234"/>
      <c r="MJ9" s="234"/>
      <c r="MK9" s="234"/>
      <c r="ML9" s="234"/>
      <c r="MM9" s="234"/>
      <c r="MN9" s="234"/>
      <c r="MO9" s="234"/>
      <c r="MP9" s="234"/>
      <c r="MQ9" s="234"/>
      <c r="MR9" s="234"/>
      <c r="MS9" s="234"/>
      <c r="MT9" s="234"/>
      <c r="MU9" s="234"/>
      <c r="MV9" s="234"/>
      <c r="MW9" s="234"/>
      <c r="MX9" s="234"/>
      <c r="MY9" s="234"/>
      <c r="MZ9" s="234"/>
      <c r="NA9" s="234"/>
      <c r="NB9" s="234"/>
      <c r="NC9" s="234"/>
      <c r="ND9" s="234"/>
      <c r="NE9" s="234"/>
      <c r="NF9" s="234"/>
      <c r="NG9" s="234"/>
      <c r="NH9" s="234"/>
      <c r="NI9" s="234"/>
      <c r="NJ9" s="234"/>
      <c r="NK9" s="234"/>
      <c r="NL9" s="234"/>
      <c r="NM9" s="234"/>
      <c r="NN9" s="234"/>
      <c r="NO9" s="234"/>
      <c r="NP9" s="234"/>
      <c r="NQ9" s="234"/>
      <c r="NR9" s="234"/>
      <c r="NS9" s="234"/>
      <c r="NT9" s="234"/>
      <c r="NU9" s="234"/>
      <c r="NV9" s="234"/>
      <c r="NW9" s="234"/>
      <c r="NX9" s="234"/>
      <c r="NY9" s="234"/>
      <c r="NZ9" s="234"/>
      <c r="OA9" s="234"/>
      <c r="OB9" s="234"/>
      <c r="OC9" s="234"/>
      <c r="OD9" s="234"/>
      <c r="OE9" s="234"/>
      <c r="OF9" s="234"/>
      <c r="OG9" s="234"/>
      <c r="OH9" s="234"/>
      <c r="OI9" s="234"/>
      <c r="OJ9" s="234"/>
      <c r="OK9" s="234"/>
      <c r="OL9" s="234"/>
      <c r="OM9" s="234"/>
      <c r="ON9" s="234"/>
      <c r="OO9" s="234"/>
      <c r="OP9" s="234"/>
      <c r="OQ9" s="234"/>
      <c r="OR9" s="234"/>
      <c r="OS9" s="234"/>
      <c r="OT9" s="234"/>
      <c r="OU9" s="234"/>
      <c r="OV9" s="234"/>
      <c r="OW9" s="234"/>
      <c r="OX9" s="234"/>
      <c r="OY9" s="234"/>
      <c r="OZ9" s="234"/>
      <c r="PA9" s="234"/>
      <c r="PB9" s="234"/>
      <c r="PC9" s="234"/>
      <c r="PD9" s="234"/>
      <c r="PE9" s="234"/>
      <c r="PF9" s="234"/>
      <c r="PG9" s="234"/>
      <c r="PH9" s="234"/>
      <c r="PI9" s="234"/>
      <c r="PJ9" s="234"/>
      <c r="PK9" s="234"/>
      <c r="PL9" s="234"/>
      <c r="PM9" s="234"/>
      <c r="PN9" s="234"/>
      <c r="PO9" s="234"/>
      <c r="PP9" s="234"/>
      <c r="PQ9" s="234"/>
      <c r="PR9" s="234"/>
      <c r="PS9" s="234"/>
      <c r="PT9" s="234"/>
      <c r="PU9" s="234"/>
      <c r="PV9" s="234"/>
      <c r="PW9" s="234"/>
      <c r="PX9" s="234"/>
      <c r="PY9" s="234"/>
      <c r="PZ9" s="234"/>
      <c r="QA9" s="234"/>
      <c r="QB9" s="234"/>
      <c r="QC9" s="234"/>
      <c r="QD9" s="234"/>
      <c r="QE9" s="234"/>
      <c r="QF9" s="234"/>
      <c r="QG9" s="234"/>
      <c r="QH9" s="234"/>
      <c r="QI9" s="234"/>
      <c r="QJ9" s="234"/>
      <c r="QK9" s="234"/>
      <c r="QL9" s="234"/>
      <c r="QM9" s="234"/>
      <c r="QN9" s="234"/>
      <c r="QO9" s="234"/>
      <c r="QP9" s="234"/>
      <c r="QQ9" s="234"/>
      <c r="QR9" s="234"/>
      <c r="QS9" s="234"/>
      <c r="QT9" s="234"/>
      <c r="QU9" s="234"/>
      <c r="QV9" s="234"/>
      <c r="QW9" s="234"/>
      <c r="QX9" s="234"/>
      <c r="QY9" s="234"/>
      <c r="QZ9" s="234"/>
      <c r="RA9" s="234"/>
      <c r="RB9" s="234"/>
      <c r="RC9" s="234"/>
      <c r="RD9" s="234"/>
      <c r="RE9" s="234"/>
      <c r="RF9" s="234"/>
      <c r="RG9" s="234"/>
      <c r="RH9" s="234"/>
      <c r="RI9" s="234"/>
      <c r="RJ9" s="234"/>
      <c r="RK9" s="234"/>
      <c r="RL9" s="234"/>
      <c r="RM9" s="234"/>
      <c r="RN9" s="234"/>
      <c r="RO9" s="234"/>
      <c r="RP9" s="234"/>
      <c r="RQ9" s="234"/>
      <c r="RR9" s="234"/>
      <c r="RS9" s="234"/>
      <c r="RT9" s="234"/>
      <c r="RU9" s="234"/>
      <c r="RV9" s="234"/>
      <c r="RW9" s="234"/>
      <c r="RX9" s="234"/>
      <c r="RY9" s="234"/>
      <c r="RZ9" s="234"/>
      <c r="SA9" s="234"/>
      <c r="SB9" s="234"/>
      <c r="SC9" s="234"/>
      <c r="SD9" s="234"/>
      <c r="SE9" s="234"/>
      <c r="SF9" s="234"/>
      <c r="SG9" s="234"/>
      <c r="SH9" s="234"/>
      <c r="SI9" s="234"/>
      <c r="SJ9" s="234"/>
      <c r="SK9" s="234"/>
      <c r="SL9" s="234"/>
      <c r="SM9" s="234"/>
      <c r="SN9" s="234"/>
      <c r="SO9" s="234"/>
      <c r="SP9" s="234"/>
      <c r="SQ9" s="234"/>
      <c r="SR9" s="234"/>
      <c r="SS9" s="234"/>
      <c r="ST9" s="234"/>
      <c r="SU9" s="234"/>
      <c r="SV9" s="234"/>
      <c r="SW9" s="234"/>
      <c r="SX9" s="234"/>
      <c r="SY9" s="234"/>
      <c r="SZ9" s="234"/>
      <c r="TA9" s="234"/>
      <c r="TB9" s="234"/>
      <c r="TC9" s="234"/>
      <c r="TD9" s="234"/>
      <c r="TE9" s="234"/>
      <c r="TF9" s="234"/>
      <c r="TG9" s="234"/>
      <c r="TH9" s="234"/>
      <c r="TI9" s="234"/>
      <c r="TJ9" s="234"/>
      <c r="TK9" s="234"/>
      <c r="TL9" s="234"/>
      <c r="TM9" s="234"/>
      <c r="TN9" s="234"/>
      <c r="TO9" s="234"/>
      <c r="TP9" s="234"/>
      <c r="TQ9" s="234"/>
      <c r="TR9" s="234"/>
      <c r="TS9" s="234"/>
      <c r="TT9" s="234"/>
      <c r="TU9" s="234"/>
      <c r="TV9" s="234"/>
      <c r="TW9" s="234"/>
      <c r="TX9" s="234"/>
      <c r="TY9" s="234"/>
      <c r="TZ9" s="234"/>
      <c r="UA9" s="234"/>
      <c r="UB9" s="234"/>
      <c r="UC9" s="234"/>
      <c r="UD9" s="234"/>
      <c r="UE9" s="234"/>
      <c r="UF9" s="234"/>
      <c r="UG9" s="234"/>
      <c r="UH9" s="234"/>
      <c r="UI9" s="234"/>
      <c r="UJ9" s="234"/>
      <c r="UK9" s="234"/>
      <c r="UL9" s="234"/>
      <c r="UM9" s="234"/>
      <c r="UN9" s="234"/>
      <c r="UO9" s="234"/>
      <c r="UP9" s="234"/>
      <c r="UQ9" s="234"/>
      <c r="UR9" s="234"/>
      <c r="US9" s="234"/>
      <c r="UT9" s="234"/>
      <c r="UU9" s="234"/>
      <c r="UV9" s="234"/>
      <c r="UW9" s="234"/>
      <c r="UX9" s="234"/>
      <c r="UY9" s="234"/>
      <c r="UZ9" s="234"/>
      <c r="VA9" s="234"/>
      <c r="VB9" s="234"/>
      <c r="VC9" s="234"/>
      <c r="VD9" s="234"/>
      <c r="VE9" s="234"/>
      <c r="VF9" s="234"/>
      <c r="VG9" s="234"/>
      <c r="VH9" s="234"/>
      <c r="VI9" s="234"/>
      <c r="VJ9" s="234"/>
      <c r="VK9" s="234"/>
      <c r="VL9" s="234"/>
      <c r="VM9" s="234"/>
      <c r="VN9" s="234"/>
      <c r="VO9" s="234"/>
      <c r="VP9" s="234"/>
      <c r="VQ9" s="234"/>
      <c r="VR9" s="234"/>
      <c r="VS9" s="234"/>
      <c r="VT9" s="234"/>
      <c r="VU9" s="234"/>
      <c r="VV9" s="234"/>
      <c r="VW9" s="234"/>
      <c r="VX9" s="234"/>
      <c r="VY9" s="234"/>
      <c r="VZ9" s="234"/>
      <c r="WA9" s="234"/>
      <c r="WB9" s="234"/>
      <c r="WC9" s="234"/>
      <c r="WD9" s="234"/>
      <c r="WE9" s="234"/>
      <c r="WF9" s="234"/>
      <c r="WG9" s="234"/>
      <c r="WH9" s="234"/>
      <c r="WI9" s="234"/>
      <c r="WJ9" s="234"/>
      <c r="WK9" s="234"/>
      <c r="WL9" s="234"/>
      <c r="WM9" s="234"/>
      <c r="WN9" s="234"/>
      <c r="WO9" s="234"/>
      <c r="WP9" s="234"/>
      <c r="WQ9" s="234"/>
      <c r="WR9" s="234"/>
      <c r="WS9" s="234"/>
      <c r="WT9" s="234"/>
      <c r="WU9" s="234"/>
      <c r="WV9" s="234"/>
      <c r="WW9" s="234"/>
      <c r="WX9" s="234"/>
      <c r="WY9" s="234"/>
      <c r="WZ9" s="234"/>
      <c r="XA9" s="234"/>
      <c r="XB9" s="234"/>
      <c r="XC9" s="234"/>
      <c r="XD9" s="234"/>
      <c r="XE9" s="234"/>
      <c r="XF9" s="234"/>
      <c r="XG9" s="234"/>
      <c r="XH9" s="234"/>
      <c r="XI9" s="234"/>
      <c r="XJ9" s="234"/>
      <c r="XK9" s="234"/>
      <c r="XL9" s="234"/>
      <c r="XM9" s="234"/>
      <c r="XN9" s="234"/>
      <c r="XO9" s="234"/>
      <c r="XP9" s="234"/>
      <c r="XQ9" s="234"/>
      <c r="XR9" s="234"/>
      <c r="XS9" s="234"/>
      <c r="XT9" s="234"/>
      <c r="XU9" s="234"/>
      <c r="XV9" s="234"/>
      <c r="XW9" s="234"/>
      <c r="XX9" s="234"/>
      <c r="XY9" s="234"/>
      <c r="XZ9" s="234"/>
      <c r="YA9" s="234"/>
      <c r="YB9" s="234"/>
      <c r="YC9" s="234"/>
      <c r="YD9" s="234"/>
      <c r="YE9" s="234"/>
      <c r="YF9" s="234"/>
      <c r="YG9" s="234"/>
      <c r="YH9" s="234"/>
      <c r="YI9" s="234"/>
      <c r="YJ9" s="234"/>
      <c r="YK9" s="234"/>
      <c r="YL9" s="234"/>
      <c r="YM9" s="234"/>
      <c r="YN9" s="234"/>
      <c r="YO9" s="234"/>
      <c r="YP9" s="234"/>
      <c r="YQ9" s="234"/>
      <c r="YR9" s="234"/>
      <c r="YS9" s="234"/>
      <c r="YT9" s="234"/>
      <c r="YU9" s="234"/>
      <c r="YV9" s="234"/>
      <c r="YW9" s="234"/>
      <c r="YX9" s="234"/>
      <c r="YY9" s="234"/>
      <c r="YZ9" s="234"/>
      <c r="ZA9" s="234"/>
      <c r="ZB9" s="234"/>
      <c r="ZC9" s="234"/>
      <c r="ZD9" s="234"/>
      <c r="ZE9" s="234"/>
      <c r="ZF9" s="234"/>
      <c r="ZG9" s="234"/>
      <c r="ZH9" s="234"/>
      <c r="ZI9" s="234"/>
      <c r="ZJ9" s="234"/>
      <c r="ZK9" s="234"/>
      <c r="ZL9" s="234"/>
      <c r="ZM9" s="234"/>
      <c r="ZN9" s="234"/>
      <c r="ZO9" s="234"/>
      <c r="ZP9" s="234"/>
      <c r="ZQ9" s="234"/>
      <c r="ZR9" s="234"/>
      <c r="ZS9" s="234"/>
      <c r="ZT9" s="234"/>
      <c r="ZU9" s="234"/>
      <c r="ZV9" s="234"/>
      <c r="ZW9" s="234"/>
      <c r="ZX9" s="234"/>
      <c r="ZY9" s="234"/>
      <c r="ZZ9" s="234"/>
      <c r="AAA9" s="234"/>
      <c r="AAB9" s="234"/>
      <c r="AAC9" s="234"/>
      <c r="AAD9" s="234"/>
      <c r="AAE9" s="234"/>
      <c r="AAF9" s="234"/>
      <c r="AAG9" s="234"/>
      <c r="AAH9" s="234"/>
      <c r="AAI9" s="234"/>
      <c r="AAJ9" s="234"/>
      <c r="AAK9" s="234"/>
      <c r="AAL9" s="234"/>
      <c r="AAM9" s="234"/>
      <c r="AAN9" s="234"/>
      <c r="AAO9" s="234"/>
      <c r="AAP9" s="234"/>
      <c r="AAQ9" s="234"/>
      <c r="AAR9" s="234"/>
      <c r="AAS9" s="234"/>
      <c r="AAT9" s="234"/>
      <c r="AAU9" s="234"/>
      <c r="AAV9" s="234"/>
      <c r="AAW9" s="234"/>
      <c r="AAX9" s="234"/>
      <c r="AAY9" s="234"/>
      <c r="AAZ9" s="234"/>
      <c r="ABA9" s="234"/>
      <c r="ABB9" s="234"/>
      <c r="ABC9" s="234"/>
      <c r="ABD9" s="234"/>
      <c r="ABE9" s="234"/>
      <c r="ABF9" s="234"/>
      <c r="ABG9" s="234"/>
      <c r="ABH9" s="234"/>
      <c r="ABI9" s="234"/>
      <c r="ABJ9" s="234"/>
      <c r="ABK9" s="234"/>
      <c r="ABL9" s="234"/>
      <c r="ABM9" s="234"/>
      <c r="ABN9" s="234"/>
      <c r="ABO9" s="234"/>
      <c r="ABP9" s="234"/>
      <c r="ABQ9" s="234"/>
      <c r="ABR9" s="234"/>
      <c r="ABS9" s="234"/>
      <c r="ABT9" s="234"/>
      <c r="ABU9" s="234"/>
      <c r="ABV9" s="234"/>
      <c r="ABW9" s="234"/>
      <c r="ABX9" s="234"/>
      <c r="ABY9" s="234"/>
      <c r="ABZ9" s="234"/>
      <c r="ACA9" s="234"/>
      <c r="ACB9" s="234"/>
      <c r="ACC9" s="234"/>
      <c r="ACD9" s="234"/>
      <c r="ACE9" s="234"/>
      <c r="ACF9" s="234"/>
      <c r="ACG9" s="234"/>
      <c r="ACH9" s="234"/>
      <c r="ACI9" s="234"/>
      <c r="ACJ9" s="234"/>
      <c r="ACK9" s="234"/>
      <c r="ACL9" s="234"/>
      <c r="ACM9" s="234"/>
      <c r="ACN9" s="234"/>
      <c r="ACO9" s="234"/>
      <c r="ACP9" s="234"/>
      <c r="ACQ9" s="234"/>
      <c r="ACR9" s="234"/>
      <c r="ACS9" s="234"/>
      <c r="ACT9" s="234"/>
      <c r="ACU9" s="234"/>
      <c r="ACV9" s="234"/>
      <c r="ACW9" s="234"/>
      <c r="ACX9" s="234"/>
      <c r="ACY9" s="234"/>
      <c r="ACZ9" s="234"/>
      <c r="ADA9" s="234"/>
      <c r="ADB9" s="234"/>
      <c r="ADC9" s="234"/>
      <c r="ADD9" s="234"/>
      <c r="ADE9" s="234"/>
      <c r="ADF9" s="234"/>
      <c r="ADG9" s="234"/>
      <c r="ADH9" s="234"/>
      <c r="ADI9" s="234"/>
      <c r="ADJ9" s="234"/>
      <c r="ADK9" s="234"/>
      <c r="ADL9" s="234"/>
      <c r="ADM9" s="234"/>
      <c r="ADN9" s="234"/>
      <c r="ADO9" s="234"/>
      <c r="ADP9" s="234"/>
      <c r="ADQ9" s="234"/>
      <c r="ADR9" s="234"/>
      <c r="ADS9" s="234"/>
      <c r="ADT9" s="234"/>
      <c r="ADU9" s="234"/>
      <c r="ADV9" s="234"/>
      <c r="ADW9" s="234"/>
      <c r="ADX9" s="234"/>
      <c r="ADY9" s="234"/>
      <c r="ADZ9" s="234"/>
      <c r="AEA9" s="234"/>
      <c r="AEB9" s="234"/>
      <c r="AEC9" s="234"/>
      <c r="AED9" s="234"/>
      <c r="AEE9" s="234"/>
      <c r="AEF9" s="234"/>
      <c r="AEG9" s="234"/>
      <c r="AEH9" s="234"/>
      <c r="AEI9" s="234"/>
      <c r="AEJ9" s="234"/>
      <c r="AEK9" s="234"/>
      <c r="AEL9" s="234"/>
      <c r="AEM9" s="234"/>
      <c r="AEN9" s="234"/>
      <c r="AEO9" s="234"/>
      <c r="AEP9" s="234"/>
      <c r="AEQ9" s="234"/>
      <c r="AER9" s="234"/>
      <c r="AES9" s="234"/>
      <c r="AET9" s="234"/>
      <c r="AEU9" s="234"/>
      <c r="AEV9" s="234"/>
      <c r="AEW9" s="234"/>
      <c r="AEX9" s="234"/>
      <c r="AEY9" s="234"/>
      <c r="AEZ9" s="234"/>
      <c r="AFA9" s="234"/>
      <c r="AFB9" s="234"/>
      <c r="AFC9" s="234"/>
      <c r="AFD9" s="234"/>
      <c r="AFE9" s="234"/>
      <c r="AFF9" s="234"/>
      <c r="AFG9" s="234"/>
      <c r="AFH9" s="234"/>
      <c r="AFI9" s="234"/>
      <c r="AFJ9" s="234"/>
      <c r="AFK9" s="234"/>
      <c r="AFL9" s="234"/>
      <c r="AFM9" s="234"/>
      <c r="AFN9" s="234"/>
      <c r="AFO9" s="234"/>
      <c r="AFP9" s="234"/>
      <c r="AFQ9" s="234"/>
      <c r="AFR9" s="234"/>
      <c r="AFS9" s="234"/>
      <c r="AFT9" s="234"/>
      <c r="AFU9" s="234"/>
      <c r="AFV9" s="234"/>
      <c r="AFW9" s="234"/>
      <c r="AFX9" s="234"/>
      <c r="AFY9" s="234"/>
      <c r="AFZ9" s="234"/>
      <c r="AGA9" s="234"/>
      <c r="AGB9" s="234"/>
      <c r="AGC9" s="234"/>
      <c r="AGD9" s="234"/>
      <c r="AGE9" s="234"/>
      <c r="AGF9" s="234"/>
      <c r="AGG9" s="234"/>
      <c r="AGH9" s="234"/>
      <c r="AGI9" s="234"/>
      <c r="AGJ9" s="234"/>
      <c r="AGK9" s="234"/>
      <c r="AGL9" s="234"/>
      <c r="AGM9" s="234"/>
      <c r="AGN9" s="234"/>
      <c r="AGO9" s="234"/>
      <c r="AGP9" s="234"/>
      <c r="AGQ9" s="234"/>
      <c r="AGR9" s="234"/>
      <c r="AGS9" s="234"/>
      <c r="AGT9" s="234"/>
      <c r="AGU9" s="234"/>
      <c r="AGV9" s="234"/>
      <c r="AGW9" s="234"/>
      <c r="AGX9" s="234"/>
      <c r="AGY9" s="234"/>
      <c r="AGZ9" s="234"/>
      <c r="AHA9" s="234"/>
      <c r="AHB9" s="234"/>
      <c r="AHC9" s="234"/>
      <c r="AHD9" s="234"/>
      <c r="AHE9" s="234"/>
      <c r="AHF9" s="234"/>
      <c r="AHG9" s="234"/>
      <c r="AHH9" s="234"/>
      <c r="AHI9" s="234"/>
      <c r="AHJ9" s="234"/>
      <c r="AHK9" s="234"/>
      <c r="AHL9" s="234"/>
      <c r="AHM9" s="234"/>
      <c r="AHN9" s="234"/>
      <c r="AHO9" s="234"/>
      <c r="AHP9" s="234"/>
      <c r="AHQ9" s="234"/>
      <c r="AHR9" s="234"/>
      <c r="AHS9" s="234"/>
      <c r="AHT9" s="234"/>
      <c r="AHU9" s="234"/>
      <c r="AHV9" s="234"/>
      <c r="AHW9" s="234"/>
      <c r="AHX9" s="234"/>
      <c r="AHY9" s="234"/>
      <c r="AHZ9" s="234"/>
      <c r="AIA9" s="234"/>
      <c r="AIB9" s="234"/>
      <c r="AIC9" s="234"/>
      <c r="AID9" s="234"/>
      <c r="AIE9" s="234"/>
      <c r="AIF9" s="234"/>
      <c r="AIG9" s="234"/>
      <c r="AIH9" s="234"/>
      <c r="AII9" s="234"/>
      <c r="AIJ9" s="234"/>
      <c r="AIK9" s="234"/>
      <c r="AIL9" s="234"/>
      <c r="AIM9" s="234"/>
      <c r="AIN9" s="234"/>
      <c r="AIO9" s="234"/>
      <c r="AIP9" s="234"/>
      <c r="AIQ9" s="234"/>
      <c r="AIR9" s="234"/>
      <c r="AIS9" s="234"/>
      <c r="AIT9" s="234"/>
      <c r="AIU9" s="234"/>
      <c r="AIV9" s="234"/>
      <c r="AIW9" s="234"/>
      <c r="AIX9" s="234"/>
      <c r="AIY9" s="234"/>
      <c r="AIZ9" s="234"/>
      <c r="AJA9" s="234"/>
      <c r="AJB9" s="234"/>
      <c r="AJC9" s="234"/>
      <c r="AJD9" s="234"/>
      <c r="AJE9" s="234"/>
      <c r="AJF9" s="234"/>
      <c r="AJG9" s="234"/>
      <c r="AJH9" s="234"/>
      <c r="AJI9" s="234"/>
      <c r="AJJ9" s="234"/>
      <c r="AJK9" s="234"/>
      <c r="AJL9" s="234"/>
      <c r="AJM9" s="234"/>
      <c r="AJN9" s="234"/>
      <c r="AJO9" s="234"/>
      <c r="AJP9" s="234"/>
      <c r="AJQ9" s="234"/>
      <c r="AJR9" s="234"/>
      <c r="AJS9" s="234"/>
      <c r="AJT9" s="234"/>
      <c r="AJU9" s="234"/>
      <c r="AJV9" s="234"/>
      <c r="AJW9" s="234"/>
      <c r="AJX9" s="234"/>
      <c r="AJY9" s="234"/>
      <c r="AJZ9" s="234"/>
      <c r="AKA9" s="234"/>
      <c r="AKB9" s="234"/>
      <c r="AKC9" s="234"/>
      <c r="AKD9" s="234"/>
      <c r="AKE9" s="234"/>
      <c r="AKF9" s="234"/>
      <c r="AKG9" s="234"/>
      <c r="AKH9" s="234"/>
      <c r="AKI9" s="234"/>
      <c r="AKJ9" s="234"/>
      <c r="AKK9" s="234"/>
      <c r="AKL9" s="234"/>
      <c r="AKM9" s="234"/>
      <c r="AKN9" s="234"/>
      <c r="AKO9" s="234"/>
      <c r="AKP9" s="234"/>
      <c r="AKQ9" s="234"/>
      <c r="AKR9" s="234"/>
      <c r="AKS9" s="234"/>
      <c r="AKT9" s="234"/>
      <c r="AKU9" s="234"/>
      <c r="AKV9" s="234"/>
      <c r="AKW9" s="234"/>
      <c r="AKX9" s="234"/>
      <c r="AKY9" s="234"/>
      <c r="AKZ9" s="234"/>
      <c r="ALA9" s="234"/>
      <c r="ALB9" s="234"/>
      <c r="ALC9" s="234"/>
      <c r="ALD9" s="234"/>
      <c r="ALE9" s="234"/>
      <c r="ALF9" s="234"/>
      <c r="ALG9" s="234"/>
      <c r="ALH9" s="234"/>
      <c r="ALI9" s="234"/>
      <c r="ALJ9" s="234"/>
      <c r="ALK9" s="234"/>
      <c r="ALL9" s="234"/>
      <c r="ALM9" s="234"/>
      <c r="ALN9" s="234"/>
      <c r="ALO9" s="234"/>
      <c r="ALP9" s="234"/>
      <c r="ALQ9" s="234"/>
      <c r="ALR9" s="234"/>
      <c r="ALS9" s="234"/>
      <c r="ALT9" s="234"/>
      <c r="ALU9" s="234"/>
      <c r="ALV9" s="234"/>
      <c r="ALW9" s="234"/>
      <c r="ALX9" s="234"/>
      <c r="ALY9" s="234"/>
      <c r="ALZ9" s="234"/>
      <c r="AMA9" s="234"/>
      <c r="AMB9" s="234"/>
      <c r="AMC9" s="234"/>
      <c r="AMD9" s="234"/>
      <c r="AME9" s="234"/>
      <c r="AMF9" s="234"/>
      <c r="AMG9" s="234"/>
      <c r="AMH9" s="234"/>
      <c r="AMI9" s="234"/>
      <c r="AMJ9" s="234"/>
      <c r="AMK9" s="234"/>
      <c r="AML9" s="234"/>
      <c r="AMM9" s="234"/>
      <c r="AMN9" s="234"/>
      <c r="AMO9" s="234"/>
      <c r="AMP9" s="234"/>
      <c r="AMQ9" s="234"/>
      <c r="AMR9" s="234"/>
      <c r="AMS9" s="234"/>
      <c r="AMT9" s="234"/>
      <c r="AMU9" s="234"/>
      <c r="AMV9" s="234"/>
      <c r="AMW9" s="234"/>
      <c r="AMX9" s="234"/>
      <c r="AMY9" s="234"/>
      <c r="AMZ9" s="234"/>
      <c r="ANA9" s="234"/>
      <c r="ANB9" s="234"/>
      <c r="ANC9" s="234"/>
      <c r="AND9" s="234"/>
      <c r="ANE9" s="234"/>
      <c r="ANF9" s="234"/>
      <c r="ANG9" s="234"/>
      <c r="ANH9" s="234"/>
      <c r="ANI9" s="234"/>
      <c r="ANJ9" s="234"/>
      <c r="ANK9" s="234"/>
      <c r="ANL9" s="234"/>
      <c r="ANM9" s="234"/>
      <c r="ANN9" s="234"/>
      <c r="ANO9" s="234"/>
      <c r="ANP9" s="234"/>
      <c r="ANQ9" s="234"/>
      <c r="ANR9" s="234"/>
      <c r="ANS9" s="234"/>
      <c r="ANT9" s="234"/>
      <c r="ANU9" s="234"/>
      <c r="ANV9" s="234"/>
      <c r="ANW9" s="234"/>
      <c r="ANX9" s="234"/>
      <c r="ANY9" s="234"/>
      <c r="ANZ9" s="234"/>
      <c r="AOA9" s="234"/>
      <c r="AOB9" s="234"/>
      <c r="AOC9" s="234"/>
      <c r="AOD9" s="234"/>
      <c r="AOE9" s="234"/>
      <c r="AOF9" s="234"/>
      <c r="AOG9" s="234"/>
      <c r="AOH9" s="234"/>
      <c r="AOI9" s="234"/>
      <c r="AOJ9" s="234"/>
      <c r="AOK9" s="234"/>
      <c r="AOL9" s="234"/>
      <c r="AOM9" s="234"/>
      <c r="AON9" s="234"/>
      <c r="AOO9" s="234"/>
      <c r="AOP9" s="234"/>
      <c r="AOQ9" s="234"/>
      <c r="AOR9" s="234"/>
      <c r="AOS9" s="234"/>
      <c r="AOT9" s="234"/>
      <c r="AOU9" s="234"/>
      <c r="AOV9" s="234"/>
      <c r="AOW9" s="234"/>
      <c r="AOX9" s="234"/>
      <c r="AOY9" s="234"/>
      <c r="AOZ9" s="234"/>
      <c r="APA9" s="234"/>
      <c r="APB9" s="234"/>
      <c r="APC9" s="234"/>
      <c r="APD9" s="234"/>
      <c r="APE9" s="234"/>
      <c r="APF9" s="234"/>
      <c r="APG9" s="234"/>
      <c r="APH9" s="234"/>
      <c r="API9" s="234"/>
      <c r="APJ9" s="234"/>
      <c r="APK9" s="234"/>
      <c r="APL9" s="234"/>
      <c r="APM9" s="234"/>
      <c r="APN9" s="234"/>
      <c r="APO9" s="234"/>
      <c r="APP9" s="234"/>
      <c r="APQ9" s="234"/>
      <c r="APR9" s="234"/>
      <c r="APS9" s="234"/>
      <c r="APT9" s="234"/>
      <c r="APU9" s="234"/>
      <c r="APV9" s="234"/>
      <c r="APW9" s="234"/>
      <c r="APX9" s="234"/>
      <c r="APY9" s="234"/>
      <c r="APZ9" s="234"/>
      <c r="AQA9" s="234"/>
      <c r="AQB9" s="234"/>
      <c r="AQC9" s="234"/>
      <c r="AQD9" s="234"/>
      <c r="AQE9" s="234"/>
      <c r="AQF9" s="234"/>
      <c r="AQG9" s="234"/>
      <c r="AQH9" s="234"/>
      <c r="AQI9" s="234"/>
      <c r="AQJ9" s="234"/>
      <c r="AQK9" s="234"/>
      <c r="AQL9" s="234"/>
      <c r="AQM9" s="234"/>
      <c r="AQN9" s="234"/>
      <c r="AQO9" s="234"/>
      <c r="AQP9" s="234"/>
      <c r="AQQ9" s="234"/>
      <c r="AQR9" s="234"/>
      <c r="AQS9" s="234"/>
      <c r="AQT9" s="234"/>
      <c r="AQU9" s="234"/>
      <c r="AQV9" s="234"/>
      <c r="AQW9" s="234"/>
      <c r="AQX9" s="234"/>
      <c r="AQY9" s="234"/>
      <c r="AQZ9" s="234"/>
      <c r="ARA9" s="234"/>
      <c r="ARB9" s="234"/>
      <c r="ARC9" s="234"/>
      <c r="ARD9" s="234"/>
      <c r="ARE9" s="234"/>
      <c r="ARF9" s="234"/>
      <c r="ARG9" s="234"/>
      <c r="ARH9" s="234"/>
      <c r="ARI9" s="234"/>
      <c r="ARJ9" s="234"/>
      <c r="ARK9" s="234"/>
      <c r="ARL9" s="234"/>
      <c r="ARM9" s="234"/>
      <c r="ARN9" s="234"/>
      <c r="ARO9" s="234"/>
      <c r="ARP9" s="234"/>
      <c r="ARQ9" s="234"/>
      <c r="ARR9" s="234"/>
      <c r="ARS9" s="234"/>
      <c r="ART9" s="234"/>
      <c r="ARU9" s="234"/>
      <c r="ARV9" s="234"/>
      <c r="ARW9" s="234"/>
      <c r="ARX9" s="234"/>
      <c r="ARY9" s="234"/>
      <c r="ARZ9" s="234"/>
      <c r="ASA9" s="234"/>
      <c r="ASB9" s="234"/>
      <c r="ASC9" s="234"/>
      <c r="ASD9" s="234"/>
      <c r="ASE9" s="234"/>
      <c r="ASF9" s="234"/>
      <c r="ASG9" s="234"/>
      <c r="ASH9" s="234"/>
      <c r="ASI9" s="234"/>
      <c r="ASJ9" s="234"/>
      <c r="ASK9" s="234"/>
      <c r="ASL9" s="234"/>
      <c r="ASM9" s="234"/>
      <c r="ASN9" s="234"/>
      <c r="ASO9" s="234"/>
      <c r="ASP9" s="234"/>
      <c r="ASQ9" s="234"/>
      <c r="ASR9" s="234"/>
      <c r="ASS9" s="234"/>
      <c r="AST9" s="234"/>
      <c r="ASU9" s="234"/>
      <c r="ASV9" s="234"/>
      <c r="ASW9" s="234"/>
      <c r="ASX9" s="234"/>
      <c r="ASY9" s="234"/>
      <c r="ASZ9" s="234"/>
      <c r="ATA9" s="234"/>
      <c r="ATB9" s="234"/>
      <c r="ATC9" s="234"/>
      <c r="ATD9" s="234"/>
      <c r="ATE9" s="234"/>
      <c r="ATF9" s="234"/>
      <c r="ATG9" s="234"/>
      <c r="ATH9" s="234"/>
      <c r="ATI9" s="234"/>
      <c r="ATJ9" s="234"/>
      <c r="ATK9" s="234"/>
      <c r="ATL9" s="234"/>
      <c r="ATM9" s="234"/>
      <c r="ATN9" s="234"/>
      <c r="ATO9" s="234"/>
      <c r="ATP9" s="234"/>
      <c r="ATQ9" s="234"/>
      <c r="ATR9" s="234"/>
      <c r="ATS9" s="234"/>
      <c r="ATT9" s="234"/>
      <c r="ATU9" s="234"/>
      <c r="ATV9" s="234"/>
      <c r="ATW9" s="234"/>
      <c r="ATX9" s="234"/>
      <c r="ATY9" s="234"/>
      <c r="ATZ9" s="234"/>
      <c r="AUA9" s="234"/>
      <c r="AUB9" s="234"/>
      <c r="AUC9" s="234"/>
      <c r="AUD9" s="234"/>
      <c r="AUE9" s="234"/>
      <c r="AUF9" s="234"/>
      <c r="AUG9" s="234"/>
      <c r="AUH9" s="234"/>
      <c r="AUI9" s="234"/>
      <c r="AUJ9" s="234"/>
      <c r="AUK9" s="234"/>
      <c r="AUL9" s="234"/>
      <c r="AUM9" s="234"/>
      <c r="AUN9" s="234"/>
      <c r="AUO9" s="234"/>
      <c r="AUP9" s="234"/>
      <c r="AUQ9" s="234"/>
      <c r="AUR9" s="234"/>
      <c r="AUS9" s="234"/>
      <c r="AUT9" s="234"/>
      <c r="AUU9" s="234"/>
      <c r="AUV9" s="234"/>
      <c r="AUW9" s="234"/>
      <c r="AUX9" s="234"/>
      <c r="AUY9" s="234"/>
      <c r="AUZ9" s="234"/>
      <c r="AVA9" s="234"/>
      <c r="AVB9" s="234"/>
      <c r="AVC9" s="234"/>
      <c r="AVD9" s="234"/>
      <c r="AVE9" s="234"/>
      <c r="AVF9" s="234"/>
      <c r="AVG9" s="234"/>
      <c r="AVH9" s="234"/>
      <c r="AVI9" s="234"/>
      <c r="AVJ9" s="234"/>
      <c r="AVK9" s="234"/>
      <c r="AVL9" s="234"/>
      <c r="AVM9" s="234"/>
      <c r="AVN9" s="234"/>
      <c r="AVO9" s="234"/>
      <c r="AVP9" s="234"/>
      <c r="AVQ9" s="234"/>
      <c r="AVR9" s="234"/>
      <c r="AVS9" s="234"/>
      <c r="AVT9" s="234"/>
      <c r="AVU9" s="234"/>
      <c r="AVV9" s="234"/>
      <c r="AVW9" s="234"/>
      <c r="AVX9" s="234"/>
      <c r="AVY9" s="234"/>
      <c r="AVZ9" s="234"/>
      <c r="AWA9" s="234"/>
      <c r="AWB9" s="234"/>
      <c r="AWC9" s="234"/>
      <c r="AWD9" s="234"/>
      <c r="AWE9" s="234"/>
      <c r="AWF9" s="234"/>
      <c r="AWG9" s="234"/>
      <c r="AWH9" s="234"/>
      <c r="AWI9" s="234"/>
      <c r="AWJ9" s="234"/>
      <c r="AWK9" s="234"/>
      <c r="AWL9" s="234"/>
      <c r="AWM9" s="234"/>
      <c r="AWN9" s="234"/>
      <c r="AWO9" s="234"/>
      <c r="AWP9" s="234"/>
      <c r="AWQ9" s="234"/>
      <c r="AWR9" s="234"/>
      <c r="AWS9" s="234"/>
      <c r="AWT9" s="234"/>
      <c r="AWU9" s="234"/>
      <c r="AWV9" s="234"/>
      <c r="AWW9" s="234"/>
      <c r="AWX9" s="234"/>
      <c r="AWY9" s="234"/>
      <c r="AWZ9" s="234"/>
      <c r="AXA9" s="234"/>
      <c r="AXB9" s="234"/>
      <c r="AXC9" s="234"/>
      <c r="AXD9" s="234"/>
      <c r="AXE9" s="234"/>
      <c r="AXF9" s="234"/>
      <c r="AXG9" s="234"/>
      <c r="AXH9" s="234"/>
      <c r="AXI9" s="234"/>
      <c r="AXJ9" s="234"/>
      <c r="AXK9" s="234"/>
      <c r="AXL9" s="234"/>
      <c r="AXM9" s="234"/>
      <c r="AXN9" s="234"/>
      <c r="AXO9" s="234"/>
      <c r="AXP9" s="234"/>
      <c r="AXQ9" s="234"/>
      <c r="AXR9" s="234"/>
      <c r="AXS9" s="234"/>
      <c r="AXT9" s="234"/>
      <c r="AXU9" s="234"/>
      <c r="AXV9" s="234"/>
      <c r="AXW9" s="234"/>
      <c r="AXX9" s="234"/>
      <c r="AXY9" s="234"/>
      <c r="AXZ9" s="234"/>
      <c r="AYA9" s="234"/>
      <c r="AYB9" s="234"/>
      <c r="AYC9" s="234"/>
      <c r="AYD9" s="234"/>
      <c r="AYE9" s="234"/>
      <c r="AYF9" s="234"/>
      <c r="AYG9" s="234"/>
      <c r="AYH9" s="234"/>
      <c r="AYI9" s="234"/>
      <c r="AYJ9" s="234"/>
      <c r="AYK9" s="234"/>
      <c r="AYL9" s="234"/>
      <c r="AYM9" s="234"/>
      <c r="AYN9" s="234"/>
      <c r="AYO9" s="234"/>
      <c r="AYP9" s="234"/>
      <c r="AYQ9" s="234"/>
      <c r="AYR9" s="234"/>
      <c r="AYS9" s="234"/>
      <c r="AYT9" s="234"/>
      <c r="AYU9" s="234"/>
      <c r="AYV9" s="234"/>
      <c r="AYW9" s="234"/>
      <c r="AYX9" s="234"/>
      <c r="AYY9" s="234"/>
      <c r="AYZ9" s="234"/>
      <c r="AZA9" s="234"/>
      <c r="AZB9" s="234"/>
      <c r="AZC9" s="234"/>
      <c r="AZD9" s="234"/>
      <c r="AZE9" s="234"/>
      <c r="AZF9" s="234"/>
      <c r="AZG9" s="234"/>
      <c r="AZH9" s="234"/>
      <c r="AZI9" s="234"/>
      <c r="AZJ9" s="234"/>
      <c r="AZK9" s="234"/>
      <c r="AZL9" s="234"/>
      <c r="AZM9" s="234"/>
      <c r="AZN9" s="234"/>
      <c r="AZO9" s="234"/>
      <c r="AZP9" s="234"/>
      <c r="AZQ9" s="234"/>
      <c r="AZR9" s="234"/>
      <c r="AZS9" s="234"/>
      <c r="AZT9" s="234"/>
      <c r="AZU9" s="234"/>
      <c r="AZV9" s="234"/>
      <c r="AZW9" s="234"/>
      <c r="AZX9" s="234"/>
      <c r="AZY9" s="234"/>
      <c r="AZZ9" s="234"/>
      <c r="BAA9" s="234"/>
      <c r="BAB9" s="234"/>
      <c r="BAC9" s="234"/>
      <c r="BAD9" s="234"/>
      <c r="BAE9" s="234"/>
      <c r="BAF9" s="234"/>
      <c r="BAG9" s="234"/>
      <c r="BAH9" s="234"/>
      <c r="BAI9" s="234"/>
      <c r="BAJ9" s="234"/>
      <c r="BAK9" s="234"/>
      <c r="BAL9" s="234"/>
      <c r="BAM9" s="234"/>
      <c r="BAN9" s="234"/>
      <c r="BAO9" s="234"/>
      <c r="BAP9" s="234"/>
      <c r="BAQ9" s="234"/>
      <c r="BAR9" s="234"/>
      <c r="BAS9" s="234"/>
      <c r="BAT9" s="234"/>
      <c r="BAU9" s="234"/>
      <c r="BAV9" s="234"/>
      <c r="BAW9" s="234"/>
      <c r="BAX9" s="234"/>
      <c r="BAY9" s="234"/>
      <c r="BAZ9" s="234"/>
      <c r="BBA9" s="234"/>
      <c r="BBB9" s="234"/>
      <c r="BBC9" s="234"/>
      <c r="BBD9" s="234"/>
      <c r="BBE9" s="234"/>
      <c r="BBF9" s="234"/>
      <c r="BBG9" s="234"/>
      <c r="BBH9" s="234"/>
      <c r="BBI9" s="234"/>
      <c r="BBJ9" s="234"/>
      <c r="BBK9" s="234"/>
      <c r="BBL9" s="234"/>
      <c r="BBM9" s="234"/>
      <c r="BBN9" s="234"/>
      <c r="BBO9" s="234"/>
      <c r="BBP9" s="234"/>
      <c r="BBQ9" s="234"/>
      <c r="BBR9" s="234"/>
      <c r="BBS9" s="234"/>
      <c r="BBT9" s="234"/>
      <c r="BBU9" s="234"/>
      <c r="BBV9" s="234"/>
      <c r="BBW9" s="234"/>
      <c r="BBX9" s="234"/>
      <c r="BBY9" s="234"/>
      <c r="BBZ9" s="234"/>
      <c r="BCA9" s="234"/>
      <c r="BCB9" s="234"/>
      <c r="BCC9" s="234"/>
      <c r="BCD9" s="234"/>
      <c r="BCE9" s="234"/>
      <c r="BCF9" s="234"/>
      <c r="BCG9" s="234"/>
      <c r="BCH9" s="234"/>
      <c r="BCI9" s="234"/>
      <c r="BCJ9" s="234"/>
      <c r="BCK9" s="234"/>
      <c r="BCL9" s="234"/>
      <c r="BCM9" s="234"/>
      <c r="BCN9" s="234"/>
      <c r="BCO9" s="234"/>
      <c r="BCP9" s="234"/>
      <c r="BCQ9" s="234"/>
      <c r="BCR9" s="234"/>
      <c r="BCS9" s="234"/>
      <c r="BCT9" s="234"/>
      <c r="BCU9" s="234"/>
      <c r="BCV9" s="234"/>
      <c r="BCW9" s="234"/>
      <c r="BCX9" s="234"/>
      <c r="BCY9" s="234"/>
      <c r="BCZ9" s="234"/>
      <c r="BDA9" s="234"/>
      <c r="BDB9" s="234"/>
      <c r="BDC9" s="234"/>
      <c r="BDD9" s="234"/>
      <c r="BDE9" s="234"/>
      <c r="BDF9" s="234"/>
      <c r="BDG9" s="234"/>
      <c r="BDH9" s="234"/>
      <c r="BDI9" s="234"/>
      <c r="BDJ9" s="234"/>
      <c r="BDK9" s="234"/>
      <c r="BDL9" s="234"/>
      <c r="BDM9" s="234"/>
      <c r="BDN9" s="234"/>
      <c r="BDO9" s="234"/>
      <c r="BDP9" s="234"/>
      <c r="BDQ9" s="234"/>
      <c r="BDR9" s="234"/>
      <c r="BDS9" s="234"/>
      <c r="BDT9" s="234"/>
      <c r="BDU9" s="234"/>
      <c r="BDV9" s="234"/>
      <c r="BDW9" s="234"/>
      <c r="BDX9" s="234"/>
      <c r="BDY9" s="234"/>
      <c r="BDZ9" s="234"/>
      <c r="BEA9" s="234"/>
      <c r="BEB9" s="234"/>
      <c r="BEC9" s="234"/>
      <c r="BED9" s="234"/>
      <c r="BEE9" s="234"/>
      <c r="BEF9" s="234"/>
      <c r="BEG9" s="234"/>
      <c r="BEH9" s="234"/>
      <c r="BEI9" s="234"/>
      <c r="BEJ9" s="234"/>
      <c r="BEK9" s="234"/>
      <c r="BEL9" s="234"/>
      <c r="BEM9" s="234"/>
      <c r="BEN9" s="234"/>
      <c r="BEO9" s="234"/>
      <c r="BEP9" s="234"/>
      <c r="BEQ9" s="234"/>
      <c r="BER9" s="234"/>
      <c r="BES9" s="234"/>
      <c r="BET9" s="234"/>
      <c r="BEU9" s="234"/>
      <c r="BEV9" s="234"/>
      <c r="BEW9" s="234"/>
      <c r="BEX9" s="234"/>
      <c r="BEY9" s="234"/>
      <c r="BEZ9" s="234"/>
      <c r="BFA9" s="234"/>
      <c r="BFB9" s="234"/>
      <c r="BFC9" s="234"/>
      <c r="BFD9" s="234"/>
      <c r="BFE9" s="234"/>
      <c r="BFF9" s="234"/>
      <c r="BFG9" s="234"/>
      <c r="BFH9" s="234"/>
      <c r="BFI9" s="234"/>
      <c r="BFJ9" s="234"/>
      <c r="BFK9" s="234"/>
      <c r="BFL9" s="234"/>
      <c r="BFM9" s="234"/>
      <c r="BFN9" s="234"/>
      <c r="BFO9" s="234"/>
      <c r="BFP9" s="234"/>
      <c r="BFQ9" s="234"/>
      <c r="BFR9" s="234"/>
      <c r="BFS9" s="234"/>
      <c r="BFT9" s="234"/>
      <c r="BFU9" s="234"/>
      <c r="BFV9" s="234"/>
      <c r="BFW9" s="234"/>
      <c r="BFX9" s="234"/>
      <c r="BFY9" s="234"/>
      <c r="BFZ9" s="234"/>
      <c r="BGA9" s="234"/>
      <c r="BGB9" s="234"/>
      <c r="BGC9" s="234"/>
      <c r="BGD9" s="234"/>
      <c r="BGE9" s="234"/>
      <c r="BGF9" s="234"/>
      <c r="BGG9" s="234"/>
      <c r="BGH9" s="234"/>
      <c r="BGI9" s="234"/>
      <c r="BGJ9" s="234"/>
      <c r="BGK9" s="234"/>
      <c r="BGL9" s="234"/>
      <c r="BGM9" s="234"/>
      <c r="BGN9" s="234"/>
      <c r="BGO9" s="234"/>
      <c r="BGP9" s="234"/>
      <c r="BGQ9" s="234"/>
      <c r="BGR9" s="234"/>
      <c r="BGS9" s="234"/>
      <c r="BGT9" s="234"/>
      <c r="BGU9" s="234"/>
      <c r="BGV9" s="234"/>
      <c r="BGW9" s="234"/>
      <c r="BGX9" s="234"/>
      <c r="BGY9" s="234"/>
      <c r="BGZ9" s="234"/>
      <c r="BHA9" s="234"/>
      <c r="BHB9" s="234"/>
      <c r="BHC9" s="234"/>
      <c r="BHD9" s="234"/>
      <c r="BHE9" s="234"/>
      <c r="BHF9" s="234"/>
      <c r="BHG9" s="234"/>
      <c r="BHH9" s="234"/>
      <c r="BHI9" s="234"/>
      <c r="BHJ9" s="234"/>
      <c r="BHK9" s="234"/>
      <c r="BHL9" s="234"/>
      <c r="BHM9" s="234"/>
      <c r="BHN9" s="234"/>
      <c r="BHO9" s="234"/>
      <c r="BHP9" s="234"/>
      <c r="BHQ9" s="234"/>
      <c r="BHR9" s="234"/>
      <c r="BHS9" s="234"/>
      <c r="BHT9" s="234"/>
      <c r="BHU9" s="234"/>
      <c r="BHV9" s="234"/>
      <c r="BHW9" s="234"/>
      <c r="BHX9" s="234"/>
      <c r="BHY9" s="234"/>
      <c r="BHZ9" s="234"/>
      <c r="BIA9" s="234"/>
      <c r="BIB9" s="234"/>
      <c r="BIC9" s="234"/>
      <c r="BID9" s="234"/>
      <c r="BIE9" s="234"/>
      <c r="BIF9" s="234"/>
      <c r="BIG9" s="234"/>
      <c r="BIH9" s="234"/>
      <c r="BII9" s="234"/>
      <c r="BIJ9" s="234"/>
      <c r="BIK9" s="234"/>
      <c r="BIL9" s="234"/>
      <c r="BIM9" s="234"/>
      <c r="BIN9" s="234"/>
      <c r="BIO9" s="234"/>
      <c r="BIP9" s="234"/>
      <c r="BIQ9" s="234"/>
      <c r="BIR9" s="234"/>
      <c r="BIS9" s="234"/>
      <c r="BIT9" s="234"/>
      <c r="BIU9" s="234"/>
      <c r="BIV9" s="234"/>
      <c r="BIW9" s="234"/>
      <c r="BIX9" s="234"/>
      <c r="BIY9" s="234"/>
      <c r="BIZ9" s="234"/>
      <c r="BJA9" s="234"/>
      <c r="BJB9" s="234"/>
      <c r="BJC9" s="234"/>
      <c r="BJD9" s="234"/>
      <c r="BJE9" s="234"/>
      <c r="BJF9" s="234"/>
      <c r="BJG9" s="234"/>
      <c r="BJH9" s="234"/>
      <c r="BJI9" s="234"/>
      <c r="BJJ9" s="234"/>
      <c r="BJK9" s="234"/>
      <c r="BJL9" s="234"/>
      <c r="BJM9" s="234"/>
      <c r="BJN9" s="234"/>
      <c r="BJO9" s="234"/>
      <c r="BJP9" s="234"/>
      <c r="BJQ9" s="234"/>
      <c r="BJR9" s="234"/>
      <c r="BJS9" s="234"/>
      <c r="BJT9" s="234"/>
      <c r="BJU9" s="234"/>
      <c r="BJV9" s="234"/>
      <c r="BJW9" s="234"/>
      <c r="BJX9" s="234"/>
      <c r="BJY9" s="234"/>
      <c r="BJZ9" s="234"/>
      <c r="BKA9" s="234"/>
      <c r="BKB9" s="234"/>
      <c r="BKC9" s="234"/>
      <c r="BKD9" s="234"/>
      <c r="BKE9" s="234"/>
      <c r="BKF9" s="234"/>
      <c r="BKG9" s="234"/>
      <c r="BKH9" s="234"/>
      <c r="BKI9" s="234"/>
      <c r="BKJ9" s="234"/>
      <c r="BKK9" s="234"/>
      <c r="BKL9" s="234"/>
      <c r="BKM9" s="234"/>
      <c r="BKN9" s="234"/>
      <c r="BKO9" s="234"/>
      <c r="BKP9" s="234"/>
      <c r="BKQ9" s="234"/>
      <c r="BKR9" s="234"/>
      <c r="BKS9" s="234"/>
      <c r="BKT9" s="234"/>
      <c r="BKU9" s="234"/>
      <c r="BKV9" s="234"/>
      <c r="BKW9" s="234"/>
      <c r="BKX9" s="234"/>
      <c r="BKY9" s="234"/>
      <c r="BKZ9" s="234"/>
      <c r="BLA9" s="234"/>
      <c r="BLB9" s="234"/>
      <c r="BLC9" s="234"/>
      <c r="BLD9" s="234"/>
      <c r="BLE9" s="234"/>
      <c r="BLF9" s="234"/>
      <c r="BLG9" s="234"/>
      <c r="BLH9" s="234"/>
      <c r="BLI9" s="234"/>
      <c r="BLJ9" s="234"/>
      <c r="BLK9" s="234"/>
      <c r="BLL9" s="234"/>
      <c r="BLM9" s="234"/>
      <c r="BLN9" s="234"/>
      <c r="BLO9" s="234"/>
      <c r="BLP9" s="234"/>
      <c r="BLQ9" s="234"/>
      <c r="BLR9" s="234"/>
      <c r="BLS9" s="234"/>
      <c r="BLT9" s="234"/>
      <c r="BLU9" s="234"/>
      <c r="BLV9" s="234"/>
      <c r="BLW9" s="234"/>
      <c r="BLX9" s="234"/>
      <c r="BLY9" s="234"/>
      <c r="BLZ9" s="234"/>
      <c r="BMA9" s="234"/>
      <c r="BMB9" s="234"/>
      <c r="BMC9" s="234"/>
      <c r="BMD9" s="234"/>
      <c r="BME9" s="234"/>
      <c r="BMF9" s="234"/>
      <c r="BMG9" s="234"/>
      <c r="BMH9" s="234"/>
      <c r="BMI9" s="234"/>
      <c r="BMJ9" s="234"/>
      <c r="BMK9" s="234"/>
      <c r="BML9" s="234"/>
      <c r="BMM9" s="234"/>
      <c r="BMN9" s="234"/>
      <c r="BMO9" s="234"/>
      <c r="BMP9" s="234"/>
      <c r="BMQ9" s="234"/>
      <c r="BMR9" s="234"/>
      <c r="BMS9" s="234"/>
      <c r="BMT9" s="234"/>
      <c r="BMU9" s="234"/>
      <c r="BMV9" s="234"/>
      <c r="BMW9" s="234"/>
      <c r="BMX9" s="234"/>
      <c r="BMY9" s="234"/>
      <c r="BMZ9" s="234"/>
      <c r="BNA9" s="234"/>
      <c r="BNB9" s="234"/>
      <c r="BNC9" s="234"/>
      <c r="BND9" s="234"/>
      <c r="BNE9" s="234"/>
      <c r="BNF9" s="234"/>
      <c r="BNG9" s="234"/>
      <c r="BNH9" s="234"/>
      <c r="BNI9" s="234"/>
      <c r="BNJ9" s="234"/>
      <c r="BNK9" s="234"/>
      <c r="BNL9" s="234"/>
      <c r="BNM9" s="234"/>
      <c r="BNN9" s="234"/>
      <c r="BNO9" s="234"/>
      <c r="BNP9" s="234"/>
      <c r="BNQ9" s="234"/>
      <c r="BNR9" s="234"/>
      <c r="BNS9" s="234"/>
      <c r="BNT9" s="234"/>
      <c r="BNU9" s="234"/>
      <c r="BNV9" s="234"/>
      <c r="BNW9" s="234"/>
      <c r="BNX9" s="234"/>
      <c r="BNY9" s="234"/>
      <c r="BNZ9" s="234"/>
      <c r="BOA9" s="234"/>
      <c r="BOB9" s="234"/>
      <c r="BOC9" s="234"/>
      <c r="BOD9" s="234"/>
      <c r="BOE9" s="234"/>
      <c r="BOF9" s="234"/>
      <c r="BOG9" s="234"/>
      <c r="BOH9" s="234"/>
      <c r="BOI9" s="234"/>
      <c r="BOJ9" s="234"/>
      <c r="BOK9" s="234"/>
      <c r="BOL9" s="234"/>
      <c r="BOM9" s="234"/>
      <c r="BON9" s="234"/>
      <c r="BOO9" s="234"/>
      <c r="BOP9" s="234"/>
      <c r="BOQ9" s="234"/>
      <c r="BOR9" s="234"/>
      <c r="BOS9" s="234"/>
      <c r="BOT9" s="234"/>
      <c r="BOU9" s="234"/>
      <c r="BOV9" s="234"/>
      <c r="BOW9" s="234"/>
      <c r="BOX9" s="234"/>
      <c r="BOY9" s="234"/>
      <c r="BOZ9" s="234"/>
      <c r="BPA9" s="234"/>
      <c r="BPB9" s="234"/>
      <c r="BPC9" s="234"/>
      <c r="BPD9" s="234"/>
      <c r="BPE9" s="234"/>
      <c r="BPF9" s="234"/>
      <c r="BPG9" s="234"/>
      <c r="BPH9" s="234"/>
      <c r="BPI9" s="234"/>
      <c r="BPJ9" s="234"/>
      <c r="BPK9" s="234"/>
      <c r="BPL9" s="234"/>
      <c r="BPM9" s="234"/>
      <c r="BPN9" s="234"/>
      <c r="BPO9" s="234"/>
      <c r="BPP9" s="234"/>
      <c r="BPQ9" s="234"/>
      <c r="BPR9" s="234"/>
      <c r="BPS9" s="234"/>
      <c r="BPT9" s="234"/>
      <c r="BPU9" s="234"/>
      <c r="BPV9" s="234"/>
      <c r="BPW9" s="234"/>
      <c r="BPX9" s="234"/>
      <c r="BPY9" s="234"/>
      <c r="BPZ9" s="234"/>
      <c r="BQA9" s="234"/>
      <c r="BQB9" s="234"/>
      <c r="BQC9" s="234"/>
      <c r="BQD9" s="234"/>
      <c r="BQE9" s="234"/>
      <c r="BQF9" s="234"/>
      <c r="BQG9" s="234"/>
      <c r="BQH9" s="234"/>
      <c r="BQI9" s="234"/>
      <c r="BQJ9" s="234"/>
      <c r="BQK9" s="234"/>
      <c r="BQL9" s="234"/>
      <c r="BQM9" s="234"/>
      <c r="BQN9" s="234"/>
      <c r="BQO9" s="234"/>
      <c r="BQP9" s="234"/>
      <c r="BQQ9" s="234"/>
      <c r="BQR9" s="234"/>
      <c r="BQS9" s="234"/>
      <c r="BQT9" s="234"/>
      <c r="BQU9" s="234"/>
      <c r="BQV9" s="234"/>
      <c r="BQW9" s="234"/>
      <c r="BQX9" s="234"/>
      <c r="BQY9" s="234"/>
      <c r="BQZ9" s="234"/>
      <c r="BRA9" s="234"/>
      <c r="BRB9" s="234"/>
      <c r="BRC9" s="234"/>
      <c r="BRD9" s="234"/>
      <c r="BRE9" s="234"/>
      <c r="BRF9" s="234"/>
      <c r="BRG9" s="234"/>
      <c r="BRH9" s="234"/>
      <c r="BRI9" s="234"/>
      <c r="BRJ9" s="234"/>
      <c r="BRK9" s="234"/>
      <c r="BRL9" s="234"/>
      <c r="BRM9" s="234"/>
      <c r="BRN9" s="234"/>
      <c r="BRO9" s="234"/>
      <c r="BRP9" s="234"/>
      <c r="BRQ9" s="234"/>
      <c r="BRR9" s="234"/>
      <c r="BRS9" s="234"/>
      <c r="BRT9" s="234"/>
      <c r="BRU9" s="234"/>
      <c r="BRV9" s="234"/>
      <c r="BRW9" s="234"/>
      <c r="BRX9" s="234"/>
      <c r="BRY9" s="234"/>
      <c r="BRZ9" s="234"/>
      <c r="BSA9" s="234"/>
      <c r="BSB9" s="234"/>
      <c r="BSC9" s="234"/>
      <c r="BSD9" s="234"/>
      <c r="BSE9" s="234"/>
      <c r="BSF9" s="234"/>
      <c r="BSG9" s="234"/>
      <c r="BSH9" s="234"/>
      <c r="BSI9" s="234"/>
      <c r="BSJ9" s="234"/>
      <c r="BSK9" s="234"/>
      <c r="BSL9" s="234"/>
      <c r="BSM9" s="234"/>
      <c r="BSN9" s="234"/>
      <c r="BSO9" s="234"/>
      <c r="BSP9" s="234"/>
      <c r="BSQ9" s="234"/>
      <c r="BSR9" s="234"/>
      <c r="BSS9" s="234"/>
      <c r="BST9" s="234"/>
      <c r="BSU9" s="234"/>
      <c r="BSV9" s="234"/>
      <c r="BSW9" s="234"/>
      <c r="BSX9" s="234"/>
      <c r="BSY9" s="234"/>
      <c r="BSZ9" s="234"/>
      <c r="BTA9" s="234"/>
      <c r="BTB9" s="234"/>
      <c r="BTC9" s="234"/>
      <c r="BTD9" s="234"/>
      <c r="BTE9" s="234"/>
      <c r="BTF9" s="234"/>
      <c r="BTG9" s="234"/>
      <c r="BTH9" s="234"/>
      <c r="BTI9" s="234"/>
      <c r="BTJ9" s="234"/>
      <c r="BTK9" s="234"/>
      <c r="BTL9" s="234"/>
      <c r="BTM9" s="234"/>
      <c r="BTN9" s="234"/>
      <c r="BTO9" s="234"/>
      <c r="BTP9" s="234"/>
      <c r="BTQ9" s="234"/>
      <c r="BTR9" s="234"/>
      <c r="BTS9" s="234"/>
      <c r="BTT9" s="234"/>
      <c r="BTU9" s="234"/>
      <c r="BTV9" s="234"/>
      <c r="BTW9" s="234"/>
      <c r="BTX9" s="234"/>
      <c r="BTY9" s="234"/>
      <c r="BTZ9" s="234"/>
      <c r="BUA9" s="234"/>
      <c r="BUB9" s="234"/>
      <c r="BUC9" s="234"/>
      <c r="BUD9" s="234"/>
      <c r="BUE9" s="234"/>
      <c r="BUF9" s="234"/>
      <c r="BUG9" s="234"/>
      <c r="BUH9" s="234"/>
      <c r="BUI9" s="234"/>
      <c r="BUJ9" s="234"/>
      <c r="BUK9" s="234"/>
      <c r="BUL9" s="234"/>
      <c r="BUM9" s="234"/>
      <c r="BUN9" s="234"/>
      <c r="BUO9" s="234"/>
      <c r="BUP9" s="234"/>
      <c r="BUQ9" s="234"/>
      <c r="BUR9" s="234"/>
      <c r="BUS9" s="234"/>
      <c r="BUT9" s="234"/>
      <c r="BUU9" s="234"/>
      <c r="BUV9" s="234"/>
      <c r="BUW9" s="234"/>
      <c r="BUX9" s="234"/>
      <c r="BUY9" s="234"/>
      <c r="BUZ9" s="234"/>
      <c r="BVA9" s="234"/>
      <c r="BVB9" s="234"/>
      <c r="BVC9" s="234"/>
      <c r="BVD9" s="234"/>
      <c r="BVE9" s="234"/>
      <c r="BVF9" s="234"/>
      <c r="BVG9" s="234"/>
      <c r="BVH9" s="234"/>
      <c r="BVI9" s="234"/>
      <c r="BVJ9" s="234"/>
      <c r="BVK9" s="234"/>
      <c r="BVL9" s="234"/>
      <c r="BVM9" s="234"/>
      <c r="BVN9" s="234"/>
      <c r="BVO9" s="234"/>
      <c r="BVP9" s="234"/>
      <c r="BVQ9" s="234"/>
      <c r="BVR9" s="234"/>
      <c r="BVS9" s="234"/>
      <c r="BVT9" s="234"/>
      <c r="BVU9" s="234"/>
      <c r="BVV9" s="234"/>
      <c r="BVW9" s="234"/>
      <c r="BVX9" s="234"/>
      <c r="BVY9" s="234"/>
      <c r="BVZ9" s="234"/>
      <c r="BWA9" s="234"/>
      <c r="BWB9" s="234"/>
      <c r="BWC9" s="234"/>
      <c r="BWD9" s="234"/>
      <c r="BWE9" s="234"/>
      <c r="BWF9" s="234"/>
      <c r="BWG9" s="234"/>
      <c r="BWH9" s="234"/>
      <c r="BWI9" s="234"/>
      <c r="BWJ9" s="234"/>
      <c r="BWK9" s="234"/>
      <c r="BWL9" s="234"/>
      <c r="BWM9" s="234"/>
      <c r="BWN9" s="234"/>
      <c r="BWO9" s="234"/>
      <c r="BWP9" s="234"/>
      <c r="BWQ9" s="234"/>
      <c r="BWR9" s="234"/>
      <c r="BWS9" s="234"/>
      <c r="BWT9" s="234"/>
      <c r="BWU9" s="234"/>
      <c r="BWV9" s="234"/>
      <c r="BWW9" s="234"/>
      <c r="BWX9" s="234"/>
      <c r="BWY9" s="234"/>
      <c r="BWZ9" s="234"/>
      <c r="BXA9" s="234"/>
      <c r="BXB9" s="234"/>
      <c r="BXC9" s="234"/>
      <c r="BXD9" s="234"/>
      <c r="BXE9" s="234"/>
      <c r="BXF9" s="234"/>
      <c r="BXG9" s="234"/>
      <c r="BXH9" s="234"/>
      <c r="BXI9" s="234"/>
      <c r="BXJ9" s="234"/>
      <c r="BXK9" s="234"/>
      <c r="BXL9" s="234"/>
      <c r="BXM9" s="234"/>
      <c r="BXN9" s="234"/>
      <c r="BXO9" s="234"/>
      <c r="BXP9" s="234"/>
      <c r="BXQ9" s="234"/>
      <c r="BXR9" s="234"/>
      <c r="BXS9" s="234"/>
      <c r="BXT9" s="234"/>
      <c r="BXU9" s="234"/>
      <c r="BXV9" s="234"/>
      <c r="BXW9" s="234"/>
      <c r="BXX9" s="234"/>
      <c r="BXY9" s="234"/>
      <c r="BXZ9" s="234"/>
      <c r="BYA9" s="234"/>
      <c r="BYB9" s="234"/>
      <c r="BYC9" s="234"/>
      <c r="BYD9" s="234"/>
      <c r="BYE9" s="234"/>
      <c r="BYF9" s="234"/>
      <c r="BYG9" s="234"/>
      <c r="BYH9" s="234"/>
      <c r="BYI9" s="234"/>
      <c r="BYJ9" s="234"/>
      <c r="BYK9" s="234"/>
      <c r="BYL9" s="234"/>
      <c r="BYM9" s="234"/>
      <c r="BYN9" s="234"/>
      <c r="BYO9" s="234"/>
      <c r="BYP9" s="234"/>
      <c r="BYQ9" s="234"/>
      <c r="BYR9" s="234"/>
      <c r="BYS9" s="234"/>
      <c r="BYT9" s="234"/>
      <c r="BYU9" s="234"/>
      <c r="BYV9" s="234"/>
      <c r="BYW9" s="234"/>
      <c r="BYX9" s="234"/>
      <c r="BYY9" s="234"/>
      <c r="BYZ9" s="234"/>
      <c r="BZA9" s="234"/>
      <c r="BZB9" s="234"/>
      <c r="BZC9" s="234"/>
      <c r="BZD9" s="234"/>
      <c r="BZE9" s="234"/>
      <c r="BZF9" s="234"/>
      <c r="BZG9" s="234"/>
      <c r="BZH9" s="234"/>
      <c r="BZI9" s="234"/>
      <c r="BZJ9" s="234"/>
      <c r="BZK9" s="234"/>
      <c r="BZL9" s="234"/>
      <c r="BZM9" s="234"/>
      <c r="BZN9" s="234"/>
      <c r="BZO9" s="234"/>
      <c r="BZP9" s="234"/>
      <c r="BZQ9" s="234"/>
      <c r="BZR9" s="234"/>
      <c r="BZS9" s="234"/>
      <c r="BZT9" s="234"/>
      <c r="BZU9" s="234"/>
      <c r="BZV9" s="234"/>
      <c r="BZW9" s="234"/>
      <c r="BZX9" s="234"/>
      <c r="BZY9" s="234"/>
      <c r="BZZ9" s="234"/>
      <c r="CAA9" s="234"/>
      <c r="CAB9" s="234"/>
      <c r="CAC9" s="234"/>
      <c r="CAD9" s="234"/>
      <c r="CAE9" s="234"/>
      <c r="CAF9" s="234"/>
      <c r="CAG9" s="234"/>
      <c r="CAH9" s="234"/>
      <c r="CAI9" s="234"/>
      <c r="CAJ9" s="234"/>
      <c r="CAK9" s="234"/>
      <c r="CAL9" s="234"/>
      <c r="CAM9" s="234"/>
      <c r="CAN9" s="234"/>
      <c r="CAO9" s="234"/>
      <c r="CAP9" s="234"/>
      <c r="CAQ9" s="234"/>
      <c r="CAR9" s="234"/>
      <c r="CAS9" s="234"/>
      <c r="CAT9" s="234"/>
      <c r="CAU9" s="234"/>
      <c r="CAV9" s="234"/>
      <c r="CAW9" s="234"/>
      <c r="CAX9" s="234"/>
      <c r="CAY9" s="234"/>
      <c r="CAZ9" s="234"/>
      <c r="CBA9" s="234"/>
      <c r="CBB9" s="234"/>
      <c r="CBC9" s="234"/>
      <c r="CBD9" s="234"/>
      <c r="CBE9" s="234"/>
      <c r="CBF9" s="234"/>
      <c r="CBG9" s="234"/>
      <c r="CBH9" s="234"/>
      <c r="CBI9" s="234"/>
      <c r="CBJ9" s="234"/>
      <c r="CBK9" s="234"/>
      <c r="CBL9" s="234"/>
      <c r="CBM9" s="234"/>
      <c r="CBN9" s="234"/>
      <c r="CBO9" s="234"/>
      <c r="CBP9" s="234"/>
      <c r="CBQ9" s="234"/>
      <c r="CBR9" s="234"/>
      <c r="CBS9" s="234"/>
      <c r="CBT9" s="234"/>
      <c r="CBU9" s="234"/>
      <c r="CBV9" s="234"/>
      <c r="CBW9" s="234"/>
      <c r="CBX9" s="234"/>
      <c r="CBY9" s="234"/>
      <c r="CBZ9" s="234"/>
      <c r="CCA9" s="234"/>
      <c r="CCB9" s="234"/>
      <c r="CCC9" s="234"/>
      <c r="CCD9" s="234"/>
      <c r="CCE9" s="234"/>
      <c r="CCF9" s="234"/>
      <c r="CCG9" s="234"/>
      <c r="CCH9" s="234"/>
      <c r="CCI9" s="234"/>
      <c r="CCJ9" s="234"/>
      <c r="CCK9" s="234"/>
      <c r="CCL9" s="234"/>
      <c r="CCM9" s="234"/>
      <c r="CCN9" s="234"/>
      <c r="CCO9" s="234"/>
      <c r="CCP9" s="234"/>
      <c r="CCQ9" s="234"/>
      <c r="CCR9" s="234"/>
      <c r="CCS9" s="234"/>
      <c r="CCT9" s="234"/>
      <c r="CCU9" s="234"/>
      <c r="CCV9" s="234"/>
      <c r="CCW9" s="234"/>
    </row>
    <row r="10" spans="1:2129 15008:15057" ht="16.350000000000001" customHeight="1" x14ac:dyDescent="0.25">
      <c r="A10" s="252" t="s">
        <v>55</v>
      </c>
      <c r="B10" s="252">
        <v>1</v>
      </c>
      <c r="C10" s="252"/>
      <c r="D10" s="252"/>
      <c r="E10" s="252"/>
      <c r="F10" s="252"/>
      <c r="G10" s="253" t="s">
        <v>138</v>
      </c>
      <c r="H10" s="254" t="s">
        <v>237</v>
      </c>
      <c r="I10" s="254"/>
      <c r="J10" s="255"/>
      <c r="K10" s="256"/>
      <c r="L10" s="257"/>
      <c r="M10" s="258"/>
      <c r="N10" s="259">
        <v>43503</v>
      </c>
      <c r="O10" s="259">
        <v>43507</v>
      </c>
      <c r="P10" s="258">
        <v>3</v>
      </c>
      <c r="Q10" s="260">
        <v>1</v>
      </c>
      <c r="R10" s="257"/>
      <c r="S10" s="257"/>
      <c r="T10" s="258"/>
      <c r="U10" s="261"/>
      <c r="V10" s="261"/>
      <c r="W10" s="261"/>
      <c r="X10" s="262"/>
      <c r="Y10" s="265"/>
      <c r="Z10" s="266"/>
      <c r="AA10" s="263"/>
      <c r="AB10" s="264"/>
      <c r="AC10" s="252"/>
      <c r="AD10" s="252"/>
      <c r="AE10" s="252"/>
      <c r="AF10" s="252"/>
      <c r="AG10" s="252"/>
      <c r="AH10" s="252"/>
      <c r="AI10" s="252"/>
      <c r="AJ10" s="252"/>
      <c r="AK10" s="252"/>
      <c r="AL10" s="252"/>
      <c r="AM10" s="252"/>
      <c r="AN10" s="252"/>
      <c r="AO10" s="252"/>
      <c r="AP10" s="252"/>
      <c r="AQ10" s="252"/>
      <c r="AR10" s="252"/>
      <c r="AS10" s="252"/>
      <c r="AT10" s="252"/>
      <c r="AU10" s="252"/>
      <c r="AV10" s="252"/>
      <c r="AW10" s="252"/>
      <c r="AX10" s="252"/>
      <c r="AY10" s="252"/>
      <c r="AZ10" s="252"/>
      <c r="BA10" s="252"/>
      <c r="BB10" s="252"/>
      <c r="BC10" s="252"/>
      <c r="BD10" s="252"/>
      <c r="BE10" s="252"/>
      <c r="BF10" s="252"/>
      <c r="BG10" s="252"/>
      <c r="BH10" s="252"/>
      <c r="BI10" s="252"/>
      <c r="BJ10" s="252"/>
      <c r="BK10" s="252"/>
      <c r="BL10" s="252"/>
      <c r="BM10" s="252"/>
      <c r="BN10" s="252"/>
      <c r="BO10" s="252"/>
      <c r="BP10" s="252"/>
      <c r="BQ10" s="252"/>
      <c r="BR10" s="252"/>
      <c r="BS10" s="252"/>
      <c r="BT10" s="252"/>
      <c r="BU10" s="252"/>
      <c r="BV10" s="252"/>
      <c r="BW10" s="252"/>
      <c r="BX10" s="252"/>
      <c r="BY10" s="252"/>
      <c r="BZ10" s="252"/>
      <c r="CA10" s="252"/>
      <c r="CB10" s="252"/>
      <c r="CC10" s="252"/>
      <c r="CD10" s="252"/>
      <c r="CE10" s="252"/>
      <c r="CF10" s="252"/>
    </row>
    <row r="11" spans="1:2129 15008:15057" s="281" customFormat="1" ht="16.350000000000001" customHeight="1" x14ac:dyDescent="0.25">
      <c r="A11" s="284" t="s">
        <v>55</v>
      </c>
      <c r="B11" s="284">
        <v>2</v>
      </c>
      <c r="C11" s="284"/>
      <c r="D11" s="284"/>
      <c r="E11" s="284"/>
      <c r="F11" s="284"/>
      <c r="G11" s="285" t="s">
        <v>238</v>
      </c>
      <c r="H11" s="286" t="s">
        <v>239</v>
      </c>
      <c r="I11" s="286"/>
      <c r="J11" s="287"/>
      <c r="K11" s="288"/>
      <c r="L11" s="288"/>
      <c r="M11" s="289"/>
      <c r="N11" s="290">
        <v>43507</v>
      </c>
      <c r="O11" s="290">
        <v>43508</v>
      </c>
      <c r="P11" s="289">
        <v>2</v>
      </c>
      <c r="Q11" s="291">
        <v>1</v>
      </c>
      <c r="R11" s="288"/>
      <c r="S11" s="288"/>
      <c r="T11" s="289"/>
      <c r="U11" s="292"/>
      <c r="V11" s="292"/>
      <c r="W11" s="292"/>
      <c r="X11" s="293"/>
      <c r="Y11" s="294"/>
      <c r="Z11" s="295"/>
      <c r="AA11" s="296"/>
      <c r="AB11" s="297"/>
      <c r="AC11" s="298"/>
      <c r="AD11" s="298"/>
      <c r="AE11" s="298"/>
      <c r="AF11" s="298"/>
      <c r="AG11" s="298"/>
      <c r="AH11" s="298"/>
      <c r="AI11" s="298"/>
      <c r="AJ11" s="298"/>
      <c r="AK11" s="298"/>
      <c r="AL11" s="298"/>
      <c r="AM11" s="298"/>
      <c r="AN11" s="298"/>
      <c r="AO11" s="298"/>
      <c r="AP11" s="298"/>
      <c r="AQ11" s="298"/>
      <c r="AR11" s="298"/>
      <c r="AS11" s="298"/>
      <c r="AT11" s="298"/>
      <c r="AU11" s="298"/>
      <c r="AV11" s="298"/>
      <c r="AW11" s="298"/>
      <c r="AX11" s="298"/>
      <c r="AY11" s="298"/>
      <c r="AZ11" s="298"/>
      <c r="BA11" s="298"/>
      <c r="BB11" s="298"/>
      <c r="BC11" s="298"/>
      <c r="BD11" s="298"/>
      <c r="BE11" s="298"/>
      <c r="BF11" s="298"/>
      <c r="BG11" s="298"/>
      <c r="BH11" s="298"/>
      <c r="BI11" s="298"/>
      <c r="BJ11" s="298"/>
      <c r="BK11" s="298"/>
      <c r="BL11" s="298"/>
      <c r="BM11" s="298"/>
      <c r="BN11" s="298"/>
      <c r="BO11" s="298"/>
      <c r="BP11" s="298"/>
      <c r="BQ11" s="298"/>
      <c r="BR11" s="298"/>
      <c r="BS11" s="298"/>
      <c r="BT11" s="298"/>
      <c r="BU11" s="298"/>
      <c r="BV11" s="298"/>
      <c r="BW11" s="298"/>
      <c r="BX11" s="298"/>
      <c r="BY11" s="298"/>
      <c r="BZ11" s="298"/>
      <c r="CA11" s="298"/>
      <c r="CB11" s="298"/>
      <c r="CC11" s="298"/>
      <c r="CD11" s="298"/>
      <c r="CE11" s="298"/>
      <c r="CF11" s="298"/>
      <c r="CG11" s="283"/>
      <c r="CH11" s="283"/>
      <c r="CI11" s="283"/>
      <c r="CJ11" s="283"/>
      <c r="CK11" s="283"/>
      <c r="CL11" s="283"/>
      <c r="CM11" s="283"/>
      <c r="CN11" s="283"/>
      <c r="CO11" s="283"/>
      <c r="CP11" s="283"/>
      <c r="CQ11" s="283"/>
      <c r="CR11" s="283"/>
      <c r="CS11" s="283"/>
      <c r="CT11" s="283"/>
      <c r="CU11" s="283"/>
      <c r="CV11" s="283"/>
      <c r="CW11" s="283"/>
      <c r="CX11" s="283"/>
      <c r="CY11" s="283"/>
      <c r="CZ11" s="283"/>
      <c r="DA11" s="283"/>
      <c r="DB11" s="283"/>
      <c r="DC11" s="283"/>
      <c r="DD11" s="283"/>
      <c r="DE11" s="283"/>
      <c r="DF11" s="283"/>
      <c r="DG11" s="283"/>
      <c r="DH11" s="283"/>
      <c r="DI11" s="283"/>
      <c r="DJ11" s="283"/>
      <c r="DK11" s="283"/>
      <c r="DL11" s="283"/>
      <c r="DM11" s="283"/>
      <c r="DN11" s="283"/>
      <c r="DO11" s="283"/>
      <c r="DP11" s="283"/>
      <c r="DQ11" s="283"/>
      <c r="DR11" s="283"/>
      <c r="DS11" s="283"/>
      <c r="DT11" s="283"/>
      <c r="DU11" s="283"/>
      <c r="DV11" s="283"/>
      <c r="DW11" s="283"/>
      <c r="DX11" s="283"/>
      <c r="DY11" s="283"/>
      <c r="DZ11" s="283"/>
      <c r="EA11" s="283"/>
      <c r="EB11" s="283"/>
      <c r="EC11" s="283"/>
      <c r="ED11" s="283"/>
      <c r="EE11" s="283"/>
      <c r="EF11" s="283"/>
      <c r="EG11" s="283"/>
      <c r="EH11" s="283"/>
      <c r="EI11" s="283"/>
      <c r="EJ11" s="283"/>
      <c r="EK11" s="283"/>
      <c r="EL11" s="283"/>
      <c r="EM11" s="283"/>
      <c r="EN11" s="283"/>
      <c r="EO11" s="283"/>
      <c r="EP11" s="283"/>
      <c r="EQ11" s="283"/>
      <c r="ER11" s="283"/>
      <c r="ES11" s="283"/>
      <c r="ET11" s="283"/>
      <c r="EU11" s="283"/>
      <c r="EV11" s="283"/>
      <c r="EW11" s="283"/>
      <c r="EX11" s="283"/>
      <c r="EY11" s="283"/>
      <c r="EZ11" s="283"/>
      <c r="FA11" s="283"/>
      <c r="FB11" s="283"/>
      <c r="FC11" s="283"/>
      <c r="FD11" s="283"/>
      <c r="FE11" s="283"/>
      <c r="FF11" s="283"/>
      <c r="FG11" s="283"/>
      <c r="FH11" s="283"/>
      <c r="FI11" s="283"/>
      <c r="FJ11" s="283"/>
      <c r="FK11" s="283"/>
      <c r="FL11" s="283"/>
      <c r="FM11" s="283"/>
      <c r="FN11" s="283"/>
      <c r="FO11" s="283"/>
      <c r="FP11" s="283"/>
      <c r="FQ11" s="283"/>
      <c r="FR11" s="283"/>
      <c r="FS11" s="283"/>
      <c r="FT11" s="283"/>
      <c r="FU11" s="283"/>
      <c r="FV11" s="283"/>
      <c r="FW11" s="283"/>
      <c r="FX11" s="283"/>
      <c r="FY11" s="283"/>
      <c r="FZ11" s="283"/>
      <c r="GA11" s="283"/>
      <c r="GB11" s="283"/>
      <c r="GC11" s="283"/>
      <c r="GD11" s="283"/>
      <c r="GE11" s="283"/>
      <c r="GF11" s="283"/>
      <c r="GG11" s="283"/>
      <c r="GH11" s="283"/>
      <c r="GI11" s="283"/>
      <c r="GJ11" s="283"/>
      <c r="GK11" s="283"/>
      <c r="GL11" s="283"/>
      <c r="GM11" s="283"/>
      <c r="GN11" s="283"/>
      <c r="GO11" s="283"/>
      <c r="GP11" s="283"/>
      <c r="GQ11" s="283"/>
      <c r="GR11" s="283"/>
      <c r="GS11" s="283"/>
      <c r="GT11" s="283"/>
      <c r="GU11" s="283"/>
      <c r="GV11" s="283"/>
      <c r="GW11" s="283"/>
      <c r="GX11" s="283"/>
      <c r="GY11" s="283"/>
      <c r="GZ11" s="283"/>
      <c r="HA11" s="283"/>
      <c r="HB11" s="283"/>
      <c r="HC11" s="283"/>
      <c r="HD11" s="283"/>
      <c r="HE11" s="283"/>
      <c r="HF11" s="283"/>
      <c r="HG11" s="283"/>
      <c r="HH11" s="283"/>
      <c r="HI11" s="283"/>
      <c r="HJ11" s="283"/>
      <c r="HK11" s="283"/>
      <c r="HL11" s="283"/>
      <c r="HM11" s="283"/>
      <c r="HN11" s="283"/>
      <c r="HO11" s="283"/>
      <c r="HP11" s="283"/>
      <c r="HQ11" s="283"/>
      <c r="HR11" s="283"/>
      <c r="HS11" s="283"/>
      <c r="HT11" s="283"/>
      <c r="HU11" s="283"/>
      <c r="HV11" s="283"/>
      <c r="HW11" s="283"/>
      <c r="HX11" s="283"/>
      <c r="HY11" s="283"/>
      <c r="HZ11" s="283"/>
      <c r="IA11" s="283"/>
      <c r="IB11" s="283"/>
      <c r="IC11" s="283"/>
      <c r="ID11" s="283"/>
      <c r="IE11" s="283"/>
      <c r="IF11" s="283"/>
      <c r="IG11" s="283"/>
      <c r="IH11" s="283"/>
      <c r="II11" s="283"/>
      <c r="IJ11" s="283"/>
      <c r="IK11" s="283"/>
      <c r="IL11" s="283"/>
      <c r="IM11" s="283"/>
      <c r="IN11" s="283"/>
      <c r="IO11" s="283"/>
      <c r="IP11" s="283"/>
      <c r="IQ11" s="283"/>
      <c r="IR11" s="283"/>
      <c r="IS11" s="283"/>
      <c r="IT11" s="283"/>
      <c r="IU11" s="283"/>
      <c r="IV11" s="283"/>
      <c r="IW11" s="283"/>
      <c r="IX11" s="283"/>
      <c r="IY11" s="283"/>
      <c r="IZ11" s="283"/>
      <c r="JA11" s="283"/>
      <c r="JB11" s="283"/>
      <c r="JC11" s="283"/>
      <c r="JD11" s="283"/>
      <c r="JE11" s="283"/>
      <c r="JF11" s="283"/>
      <c r="JG11" s="283"/>
      <c r="JH11" s="283"/>
      <c r="JI11" s="283"/>
      <c r="JJ11" s="283"/>
      <c r="JK11" s="283"/>
      <c r="JL11" s="283"/>
      <c r="JM11" s="283"/>
      <c r="JN11" s="283"/>
      <c r="JO11" s="283"/>
      <c r="JP11" s="283"/>
      <c r="JQ11" s="283"/>
      <c r="JR11" s="283"/>
      <c r="JS11" s="283"/>
      <c r="JT11" s="283"/>
      <c r="JU11" s="283"/>
      <c r="JV11" s="283"/>
      <c r="JW11" s="283"/>
      <c r="JX11" s="283"/>
      <c r="JY11" s="283"/>
      <c r="JZ11" s="283"/>
      <c r="KA11" s="283"/>
      <c r="KB11" s="283"/>
      <c r="KC11" s="283"/>
      <c r="KD11" s="283"/>
      <c r="KE11" s="283"/>
      <c r="KF11" s="283"/>
      <c r="KG11" s="283"/>
      <c r="KH11" s="283"/>
      <c r="KI11" s="283"/>
      <c r="KJ11" s="283"/>
      <c r="KK11" s="283"/>
      <c r="KL11" s="283"/>
      <c r="KM11" s="283"/>
      <c r="KN11" s="283"/>
      <c r="KO11" s="283"/>
      <c r="KP11" s="283"/>
      <c r="KQ11" s="283"/>
      <c r="KR11" s="283"/>
      <c r="KS11" s="283"/>
      <c r="KT11" s="283"/>
      <c r="KU11" s="283"/>
      <c r="KV11" s="283"/>
      <c r="KW11" s="283"/>
      <c r="KX11" s="283"/>
      <c r="KY11" s="283"/>
      <c r="KZ11" s="283"/>
      <c r="LA11" s="283"/>
      <c r="LB11" s="283"/>
      <c r="LC11" s="283"/>
      <c r="LD11" s="283"/>
      <c r="LE11" s="283"/>
      <c r="LF11" s="283"/>
      <c r="LG11" s="283"/>
      <c r="LH11" s="283"/>
      <c r="LI11" s="283"/>
      <c r="LJ11" s="283"/>
      <c r="LK11" s="283"/>
      <c r="LL11" s="283"/>
      <c r="LM11" s="283"/>
      <c r="LN11" s="283"/>
      <c r="LO11" s="283"/>
      <c r="LP11" s="283"/>
      <c r="LQ11" s="283"/>
      <c r="LR11" s="283"/>
      <c r="LS11" s="283"/>
      <c r="LT11" s="283"/>
      <c r="LU11" s="283"/>
      <c r="LV11" s="283"/>
      <c r="LW11" s="283"/>
      <c r="LX11" s="283"/>
      <c r="LY11" s="283"/>
      <c r="LZ11" s="283"/>
      <c r="MA11" s="283"/>
      <c r="MB11" s="283"/>
      <c r="MC11" s="283"/>
      <c r="MD11" s="283"/>
      <c r="ME11" s="283"/>
      <c r="MF11" s="283"/>
      <c r="MG11" s="283"/>
      <c r="MH11" s="283"/>
      <c r="MI11" s="283"/>
      <c r="MJ11" s="283"/>
      <c r="MK11" s="283"/>
      <c r="ML11" s="283"/>
      <c r="MM11" s="283"/>
      <c r="MN11" s="283"/>
      <c r="MO11" s="283"/>
      <c r="MP11" s="283"/>
      <c r="MQ11" s="283"/>
      <c r="MR11" s="283"/>
      <c r="MS11" s="283"/>
      <c r="MT11" s="283"/>
      <c r="MU11" s="283"/>
      <c r="MV11" s="283"/>
      <c r="MW11" s="283"/>
      <c r="MX11" s="283"/>
      <c r="MY11" s="283"/>
      <c r="MZ11" s="283"/>
      <c r="NA11" s="283"/>
      <c r="NB11" s="283"/>
      <c r="NC11" s="283"/>
      <c r="ND11" s="283"/>
      <c r="NE11" s="283"/>
      <c r="NF11" s="283"/>
      <c r="NG11" s="283"/>
      <c r="NH11" s="283"/>
      <c r="NI11" s="283"/>
      <c r="NJ11" s="283"/>
      <c r="NK11" s="283"/>
      <c r="NL11" s="283"/>
      <c r="NM11" s="283"/>
      <c r="NN11" s="283"/>
      <c r="NO11" s="283"/>
      <c r="NP11" s="283"/>
      <c r="NQ11" s="283"/>
      <c r="NR11" s="283"/>
      <c r="NS11" s="283"/>
      <c r="NT11" s="283"/>
      <c r="NU11" s="283"/>
      <c r="NV11" s="283"/>
      <c r="NW11" s="283"/>
      <c r="NX11" s="283"/>
      <c r="NY11" s="283"/>
      <c r="NZ11" s="283"/>
      <c r="OA11" s="283"/>
      <c r="OB11" s="283"/>
      <c r="OC11" s="283"/>
      <c r="OD11" s="283"/>
      <c r="OE11" s="283"/>
      <c r="OF11" s="283"/>
      <c r="OG11" s="283"/>
      <c r="OH11" s="283"/>
      <c r="OI11" s="283"/>
      <c r="OJ11" s="283"/>
      <c r="OK11" s="283"/>
      <c r="OL11" s="283"/>
      <c r="OM11" s="283"/>
      <c r="ON11" s="283"/>
      <c r="OO11" s="283"/>
      <c r="OP11" s="283"/>
      <c r="OQ11" s="283"/>
      <c r="OR11" s="283"/>
      <c r="OS11" s="283"/>
      <c r="OT11" s="283"/>
      <c r="OU11" s="283"/>
      <c r="OV11" s="283"/>
      <c r="OW11" s="283"/>
      <c r="OX11" s="283"/>
      <c r="OY11" s="283"/>
      <c r="OZ11" s="283"/>
      <c r="PA11" s="283"/>
      <c r="PB11" s="283"/>
      <c r="PC11" s="283"/>
      <c r="PD11" s="283"/>
      <c r="PE11" s="283"/>
      <c r="PF11" s="283"/>
      <c r="PG11" s="283"/>
      <c r="PH11" s="283"/>
      <c r="PI11" s="283"/>
      <c r="PJ11" s="283"/>
      <c r="PK11" s="283"/>
      <c r="PL11" s="283"/>
      <c r="PM11" s="283"/>
      <c r="PN11" s="283"/>
      <c r="PO11" s="283"/>
      <c r="PP11" s="283"/>
      <c r="PQ11" s="283"/>
      <c r="PR11" s="283"/>
      <c r="PS11" s="283"/>
      <c r="PT11" s="283"/>
      <c r="PU11" s="283"/>
      <c r="PV11" s="283"/>
      <c r="PW11" s="283"/>
      <c r="PX11" s="283"/>
      <c r="PY11" s="283"/>
      <c r="PZ11" s="283"/>
      <c r="QA11" s="283"/>
      <c r="QB11" s="283"/>
      <c r="QC11" s="283"/>
      <c r="QD11" s="283"/>
      <c r="QE11" s="283"/>
      <c r="QF11" s="283"/>
      <c r="QG11" s="283"/>
      <c r="QH11" s="283"/>
      <c r="QI11" s="283"/>
      <c r="QJ11" s="283"/>
      <c r="QK11" s="283"/>
      <c r="QL11" s="283"/>
      <c r="QM11" s="283"/>
      <c r="QN11" s="283"/>
      <c r="QO11" s="283"/>
      <c r="QP11" s="283"/>
      <c r="QQ11" s="283"/>
      <c r="QR11" s="283"/>
      <c r="QS11" s="283"/>
      <c r="QT11" s="283"/>
      <c r="QU11" s="283"/>
      <c r="QV11" s="283"/>
      <c r="QW11" s="283"/>
      <c r="QX11" s="283"/>
      <c r="QY11" s="283"/>
      <c r="QZ11" s="283"/>
      <c r="RA11" s="283"/>
      <c r="RB11" s="283"/>
      <c r="RC11" s="283"/>
      <c r="RD11" s="283"/>
      <c r="RE11" s="283"/>
      <c r="RF11" s="283"/>
      <c r="RG11" s="283"/>
      <c r="RH11" s="283"/>
      <c r="RI11" s="283"/>
      <c r="RJ11" s="283"/>
      <c r="RK11" s="283"/>
      <c r="RL11" s="283"/>
      <c r="RM11" s="283"/>
      <c r="RN11" s="283"/>
      <c r="RO11" s="283"/>
      <c r="RP11" s="283"/>
      <c r="RQ11" s="283"/>
      <c r="RR11" s="283"/>
      <c r="RS11" s="283"/>
      <c r="RT11" s="283"/>
      <c r="RU11" s="283"/>
      <c r="RV11" s="283"/>
      <c r="RW11" s="283"/>
      <c r="RX11" s="283"/>
      <c r="RY11" s="283"/>
      <c r="RZ11" s="283"/>
      <c r="SA11" s="283"/>
      <c r="SB11" s="283"/>
      <c r="SC11" s="283"/>
      <c r="SD11" s="283"/>
      <c r="SE11" s="283"/>
      <c r="SF11" s="283"/>
      <c r="SG11" s="283"/>
      <c r="SH11" s="283"/>
      <c r="SI11" s="283"/>
      <c r="SJ11" s="283"/>
      <c r="SK11" s="283"/>
      <c r="SL11" s="283"/>
      <c r="SM11" s="283"/>
      <c r="SN11" s="283"/>
      <c r="SO11" s="283"/>
      <c r="SP11" s="283"/>
      <c r="SQ11" s="283"/>
      <c r="SR11" s="283"/>
      <c r="SS11" s="283"/>
      <c r="ST11" s="283"/>
      <c r="SU11" s="283"/>
      <c r="SV11" s="283"/>
      <c r="SW11" s="283"/>
      <c r="SX11" s="283"/>
      <c r="SY11" s="283"/>
      <c r="SZ11" s="283"/>
      <c r="TA11" s="283"/>
      <c r="TB11" s="283"/>
      <c r="TC11" s="283"/>
      <c r="TD11" s="283"/>
      <c r="TE11" s="283"/>
      <c r="TF11" s="283"/>
      <c r="TG11" s="283"/>
      <c r="TH11" s="283"/>
      <c r="TI11" s="283"/>
      <c r="TJ11" s="283"/>
      <c r="TK11" s="283"/>
      <c r="TL11" s="283"/>
      <c r="TM11" s="283"/>
      <c r="TN11" s="283"/>
      <c r="TO11" s="283"/>
      <c r="TP11" s="283"/>
      <c r="TQ11" s="283"/>
      <c r="TR11" s="283"/>
      <c r="TS11" s="283"/>
      <c r="TT11" s="283"/>
      <c r="TU11" s="283"/>
      <c r="TV11" s="283"/>
      <c r="TW11" s="283"/>
      <c r="TX11" s="283"/>
      <c r="TY11" s="283"/>
      <c r="TZ11" s="283"/>
      <c r="UA11" s="283"/>
      <c r="UB11" s="283"/>
      <c r="UC11" s="283"/>
      <c r="UD11" s="283"/>
      <c r="UE11" s="283"/>
      <c r="UF11" s="283"/>
      <c r="UG11" s="283"/>
      <c r="UH11" s="283"/>
      <c r="UI11" s="283"/>
      <c r="UJ11" s="283"/>
      <c r="UK11" s="283"/>
      <c r="UL11" s="283"/>
      <c r="UM11" s="283"/>
      <c r="UN11" s="283"/>
      <c r="UO11" s="283"/>
      <c r="UP11" s="283"/>
      <c r="UQ11" s="283"/>
      <c r="UR11" s="283"/>
      <c r="US11" s="283"/>
      <c r="UT11" s="283"/>
      <c r="UU11" s="283"/>
      <c r="UV11" s="283"/>
      <c r="UW11" s="283"/>
      <c r="UX11" s="283"/>
      <c r="UY11" s="283"/>
      <c r="UZ11" s="283"/>
      <c r="VA11" s="283"/>
      <c r="VB11" s="283"/>
      <c r="VC11" s="283"/>
      <c r="VD11" s="283"/>
      <c r="VE11" s="283"/>
      <c r="VF11" s="283"/>
      <c r="VG11" s="283"/>
      <c r="VH11" s="283"/>
      <c r="VI11" s="283"/>
      <c r="VJ11" s="283"/>
      <c r="VK11" s="283"/>
      <c r="VL11" s="283"/>
      <c r="VM11" s="283"/>
      <c r="VN11" s="283"/>
      <c r="VO11" s="283"/>
      <c r="VP11" s="283"/>
      <c r="VQ11" s="283"/>
      <c r="VR11" s="283"/>
      <c r="VS11" s="283"/>
      <c r="VT11" s="283"/>
      <c r="VU11" s="283"/>
      <c r="VV11" s="283"/>
      <c r="VW11" s="283"/>
      <c r="VX11" s="283"/>
      <c r="VY11" s="283"/>
      <c r="VZ11" s="283"/>
      <c r="WA11" s="283"/>
      <c r="WB11" s="283"/>
      <c r="WC11" s="283"/>
      <c r="WD11" s="283"/>
      <c r="WE11" s="283"/>
      <c r="WF11" s="283"/>
      <c r="WG11" s="283"/>
      <c r="WH11" s="283"/>
      <c r="WI11" s="283"/>
      <c r="WJ11" s="283"/>
      <c r="WK11" s="283"/>
      <c r="WL11" s="283"/>
      <c r="WM11" s="283"/>
      <c r="WN11" s="283"/>
      <c r="WO11" s="283"/>
      <c r="WP11" s="283"/>
      <c r="WQ11" s="283"/>
      <c r="WR11" s="283"/>
      <c r="WS11" s="283"/>
      <c r="WT11" s="283"/>
      <c r="WU11" s="283"/>
      <c r="WV11" s="283"/>
      <c r="WW11" s="283"/>
      <c r="WX11" s="283"/>
      <c r="WY11" s="283"/>
      <c r="WZ11" s="283"/>
      <c r="XA11" s="283"/>
      <c r="XB11" s="283"/>
      <c r="XC11" s="283"/>
      <c r="XD11" s="283"/>
      <c r="XE11" s="283"/>
      <c r="XF11" s="283"/>
      <c r="XG11" s="283"/>
      <c r="XH11" s="283"/>
      <c r="XI11" s="283"/>
      <c r="XJ11" s="283"/>
      <c r="XK11" s="283"/>
      <c r="XL11" s="283"/>
      <c r="XM11" s="283"/>
      <c r="XN11" s="283"/>
      <c r="XO11" s="283"/>
      <c r="XP11" s="283"/>
      <c r="XQ11" s="283"/>
      <c r="XR11" s="283"/>
      <c r="XS11" s="283"/>
      <c r="XT11" s="283"/>
      <c r="XU11" s="283"/>
      <c r="XV11" s="283"/>
      <c r="XW11" s="283"/>
      <c r="XX11" s="283"/>
      <c r="XY11" s="283"/>
      <c r="XZ11" s="283"/>
      <c r="YA11" s="283"/>
      <c r="YB11" s="283"/>
      <c r="YC11" s="283"/>
      <c r="YD11" s="283"/>
      <c r="YE11" s="283"/>
      <c r="YF11" s="283"/>
      <c r="YG11" s="283"/>
      <c r="YH11" s="283"/>
      <c r="YI11" s="283"/>
      <c r="YJ11" s="283"/>
      <c r="YK11" s="283"/>
      <c r="YL11" s="283"/>
      <c r="YM11" s="283"/>
      <c r="YN11" s="283"/>
      <c r="YO11" s="283"/>
      <c r="YP11" s="283"/>
      <c r="YQ11" s="283"/>
      <c r="YR11" s="283"/>
      <c r="YS11" s="283"/>
      <c r="YT11" s="283"/>
      <c r="YU11" s="283"/>
      <c r="YV11" s="283"/>
      <c r="YW11" s="283"/>
      <c r="YX11" s="283"/>
      <c r="YY11" s="283"/>
      <c r="YZ11" s="283"/>
      <c r="ZA11" s="283"/>
      <c r="ZB11" s="283"/>
      <c r="ZC11" s="283"/>
      <c r="ZD11" s="283"/>
      <c r="ZE11" s="283"/>
      <c r="ZF11" s="283"/>
      <c r="ZG11" s="283"/>
      <c r="ZH11" s="283"/>
      <c r="ZI11" s="283"/>
      <c r="ZJ11" s="283"/>
      <c r="ZK11" s="283"/>
      <c r="ZL11" s="283"/>
      <c r="ZM11" s="283"/>
      <c r="ZN11" s="283"/>
      <c r="ZO11" s="283"/>
      <c r="ZP11" s="283"/>
      <c r="ZQ11" s="283"/>
      <c r="ZR11" s="283"/>
      <c r="ZS11" s="283"/>
      <c r="ZT11" s="283"/>
      <c r="ZU11" s="283"/>
      <c r="ZV11" s="283"/>
      <c r="ZW11" s="283"/>
      <c r="ZX11" s="283"/>
      <c r="ZY11" s="283"/>
      <c r="ZZ11" s="283"/>
      <c r="AAA11" s="283"/>
      <c r="AAB11" s="283"/>
      <c r="AAC11" s="283"/>
      <c r="AAD11" s="283"/>
      <c r="AAE11" s="283"/>
      <c r="AAF11" s="283"/>
      <c r="AAG11" s="283"/>
      <c r="AAH11" s="283"/>
      <c r="AAI11" s="283"/>
      <c r="AAJ11" s="283"/>
      <c r="AAK11" s="283"/>
      <c r="AAL11" s="283"/>
      <c r="AAM11" s="283"/>
      <c r="AAN11" s="283"/>
      <c r="AAO11" s="283"/>
      <c r="AAP11" s="283"/>
      <c r="AAQ11" s="283"/>
      <c r="AAR11" s="283"/>
      <c r="AAS11" s="283"/>
      <c r="AAT11" s="283"/>
      <c r="AAU11" s="283"/>
      <c r="AAV11" s="283"/>
      <c r="AAW11" s="283"/>
      <c r="AAX11" s="283"/>
      <c r="AAY11" s="283"/>
      <c r="AAZ11" s="283"/>
      <c r="ABA11" s="283"/>
      <c r="ABB11" s="283"/>
      <c r="ABC11" s="283"/>
      <c r="ABD11" s="283"/>
      <c r="ABE11" s="283"/>
      <c r="ABF11" s="283"/>
      <c r="ABG11" s="283"/>
      <c r="ABH11" s="283"/>
      <c r="ABI11" s="283"/>
      <c r="ABJ11" s="283"/>
      <c r="ABK11" s="283"/>
      <c r="ABL11" s="283"/>
      <c r="ABM11" s="283"/>
      <c r="ABN11" s="283"/>
      <c r="ABO11" s="283"/>
      <c r="ABP11" s="283"/>
      <c r="ABQ11" s="283"/>
      <c r="ABR11" s="283"/>
      <c r="ABS11" s="283"/>
      <c r="ABT11" s="283"/>
      <c r="ABU11" s="283"/>
      <c r="ABV11" s="283"/>
      <c r="ABW11" s="283"/>
      <c r="ABX11" s="283"/>
      <c r="ABY11" s="283"/>
      <c r="ABZ11" s="283"/>
      <c r="ACA11" s="283"/>
      <c r="ACB11" s="283"/>
      <c r="ACC11" s="283"/>
      <c r="ACD11" s="283"/>
      <c r="ACE11" s="283"/>
      <c r="ACF11" s="283"/>
      <c r="ACG11" s="283"/>
      <c r="ACH11" s="283"/>
      <c r="ACI11" s="283"/>
      <c r="ACJ11" s="283"/>
      <c r="ACK11" s="283"/>
      <c r="ACL11" s="283"/>
      <c r="ACM11" s="283"/>
      <c r="ACN11" s="283"/>
      <c r="ACO11" s="283"/>
      <c r="ACP11" s="283"/>
      <c r="ACQ11" s="283"/>
      <c r="ACR11" s="283"/>
      <c r="ACS11" s="283"/>
      <c r="ACT11" s="283"/>
      <c r="ACU11" s="283"/>
      <c r="ACV11" s="283"/>
      <c r="ACW11" s="283"/>
      <c r="ACX11" s="283"/>
      <c r="ACY11" s="283"/>
      <c r="ACZ11" s="283"/>
      <c r="ADA11" s="283"/>
      <c r="ADB11" s="283"/>
      <c r="ADC11" s="283"/>
      <c r="ADD11" s="283"/>
      <c r="ADE11" s="283"/>
      <c r="ADF11" s="283"/>
      <c r="ADG11" s="283"/>
      <c r="ADH11" s="283"/>
      <c r="ADI11" s="283"/>
      <c r="ADJ11" s="283"/>
      <c r="ADK11" s="283"/>
      <c r="ADL11" s="283"/>
      <c r="ADM11" s="283"/>
      <c r="ADN11" s="283"/>
      <c r="ADO11" s="283"/>
      <c r="ADP11" s="283"/>
      <c r="ADQ11" s="283"/>
      <c r="ADR11" s="283"/>
      <c r="ADS11" s="283"/>
      <c r="ADT11" s="283"/>
      <c r="ADU11" s="283"/>
      <c r="ADV11" s="283"/>
      <c r="ADW11" s="283"/>
      <c r="ADX11" s="283"/>
      <c r="ADY11" s="283"/>
      <c r="ADZ11" s="283"/>
      <c r="AEA11" s="283"/>
      <c r="AEB11" s="283"/>
      <c r="AEC11" s="283"/>
      <c r="AED11" s="283"/>
      <c r="AEE11" s="283"/>
      <c r="AEF11" s="283"/>
      <c r="AEG11" s="283"/>
      <c r="AEH11" s="283"/>
      <c r="AEI11" s="283"/>
      <c r="AEJ11" s="283"/>
      <c r="AEK11" s="283"/>
      <c r="AEL11" s="283"/>
      <c r="AEM11" s="283"/>
      <c r="AEN11" s="283"/>
      <c r="AEO11" s="283"/>
      <c r="AEP11" s="283"/>
      <c r="AEQ11" s="283"/>
      <c r="AER11" s="283"/>
      <c r="AES11" s="283"/>
      <c r="AET11" s="283"/>
      <c r="AEU11" s="283"/>
      <c r="AEV11" s="283"/>
      <c r="AEW11" s="283"/>
      <c r="AEX11" s="283"/>
      <c r="AEY11" s="283"/>
      <c r="AEZ11" s="283"/>
      <c r="AFA11" s="283"/>
      <c r="AFB11" s="283"/>
      <c r="AFC11" s="283"/>
      <c r="AFD11" s="283"/>
      <c r="AFE11" s="283"/>
      <c r="AFF11" s="283"/>
      <c r="AFG11" s="283"/>
      <c r="AFH11" s="283"/>
      <c r="AFI11" s="283"/>
      <c r="AFJ11" s="283"/>
      <c r="AFK11" s="283"/>
      <c r="AFL11" s="283"/>
      <c r="AFM11" s="283"/>
      <c r="AFN11" s="283"/>
      <c r="AFO11" s="283"/>
      <c r="AFP11" s="283"/>
      <c r="AFQ11" s="283"/>
      <c r="AFR11" s="283"/>
      <c r="AFS11" s="283"/>
      <c r="AFT11" s="283"/>
      <c r="AFU11" s="283"/>
      <c r="AFV11" s="283"/>
      <c r="AFW11" s="283"/>
      <c r="AFX11" s="283"/>
      <c r="AFY11" s="283"/>
      <c r="AFZ11" s="283"/>
      <c r="AGA11" s="283"/>
      <c r="AGB11" s="283"/>
      <c r="AGC11" s="283"/>
      <c r="AGD11" s="283"/>
      <c r="AGE11" s="283"/>
      <c r="AGF11" s="283"/>
      <c r="AGG11" s="283"/>
      <c r="AGH11" s="283"/>
      <c r="AGI11" s="283"/>
      <c r="AGJ11" s="283"/>
      <c r="AGK11" s="283"/>
      <c r="AGL11" s="283"/>
      <c r="AGM11" s="283"/>
      <c r="AGN11" s="283"/>
      <c r="AGO11" s="283"/>
      <c r="AGP11" s="283"/>
      <c r="AGQ11" s="283"/>
      <c r="AGR11" s="283"/>
      <c r="AGS11" s="283"/>
      <c r="AGT11" s="283"/>
      <c r="AGU11" s="283"/>
      <c r="AGV11" s="283"/>
      <c r="AGW11" s="283"/>
      <c r="AGX11" s="283"/>
      <c r="AGY11" s="283"/>
      <c r="AGZ11" s="283"/>
      <c r="AHA11" s="283"/>
      <c r="AHB11" s="283"/>
      <c r="AHC11" s="283"/>
      <c r="AHD11" s="283"/>
      <c r="AHE11" s="283"/>
      <c r="AHF11" s="283"/>
      <c r="AHG11" s="283"/>
      <c r="AHH11" s="283"/>
      <c r="AHI11" s="283"/>
      <c r="AHJ11" s="283"/>
      <c r="AHK11" s="283"/>
      <c r="AHL11" s="283"/>
      <c r="AHM11" s="283"/>
      <c r="AHN11" s="283"/>
      <c r="AHO11" s="283"/>
      <c r="AHP11" s="283"/>
      <c r="AHQ11" s="283"/>
      <c r="AHR11" s="283"/>
      <c r="AHS11" s="283"/>
      <c r="AHT11" s="283"/>
      <c r="AHU11" s="283"/>
      <c r="AHV11" s="283"/>
      <c r="AHW11" s="283"/>
      <c r="AHX11" s="283"/>
      <c r="AHY11" s="283"/>
      <c r="AHZ11" s="283"/>
      <c r="AIA11" s="283"/>
      <c r="AIB11" s="283"/>
      <c r="AIC11" s="283"/>
      <c r="AID11" s="283"/>
      <c r="AIE11" s="283"/>
      <c r="AIF11" s="283"/>
      <c r="AIG11" s="283"/>
      <c r="AIH11" s="283"/>
      <c r="AII11" s="283"/>
      <c r="AIJ11" s="283"/>
      <c r="AIK11" s="283"/>
      <c r="AIL11" s="283"/>
      <c r="AIM11" s="283"/>
      <c r="AIN11" s="283"/>
      <c r="AIO11" s="283"/>
      <c r="AIP11" s="283"/>
      <c r="AIQ11" s="283"/>
      <c r="AIR11" s="283"/>
      <c r="AIS11" s="283"/>
      <c r="AIT11" s="283"/>
      <c r="AIU11" s="283"/>
      <c r="AIV11" s="283"/>
      <c r="AIW11" s="283"/>
      <c r="AIX11" s="283"/>
      <c r="AIY11" s="283"/>
      <c r="AIZ11" s="283"/>
      <c r="AJA11" s="283"/>
      <c r="AJB11" s="283"/>
      <c r="AJC11" s="283"/>
      <c r="AJD11" s="283"/>
      <c r="AJE11" s="283"/>
      <c r="AJF11" s="283"/>
      <c r="AJG11" s="283"/>
      <c r="AJH11" s="283"/>
      <c r="AJI11" s="283"/>
      <c r="AJJ11" s="283"/>
      <c r="AJK11" s="283"/>
      <c r="AJL11" s="283"/>
      <c r="AJM11" s="283"/>
      <c r="AJN11" s="283"/>
      <c r="AJO11" s="283"/>
      <c r="AJP11" s="283"/>
      <c r="AJQ11" s="283"/>
      <c r="AJR11" s="283"/>
      <c r="AJS11" s="283"/>
      <c r="AJT11" s="283"/>
      <c r="AJU11" s="283"/>
      <c r="AJV11" s="283"/>
      <c r="AJW11" s="283"/>
      <c r="AJX11" s="283"/>
      <c r="AJY11" s="283"/>
      <c r="AJZ11" s="283"/>
      <c r="AKA11" s="283"/>
      <c r="AKB11" s="283"/>
      <c r="AKC11" s="283"/>
      <c r="AKD11" s="283"/>
      <c r="AKE11" s="283"/>
      <c r="AKF11" s="283"/>
      <c r="AKG11" s="283"/>
      <c r="AKH11" s="283"/>
      <c r="AKI11" s="283"/>
      <c r="AKJ11" s="283"/>
      <c r="AKK11" s="283"/>
      <c r="AKL11" s="283"/>
      <c r="AKM11" s="283"/>
      <c r="AKN11" s="283"/>
      <c r="AKO11" s="283"/>
      <c r="AKP11" s="283"/>
      <c r="AKQ11" s="283"/>
      <c r="AKR11" s="283"/>
      <c r="AKS11" s="283"/>
      <c r="AKT11" s="283"/>
      <c r="AKU11" s="283"/>
      <c r="AKV11" s="283"/>
      <c r="AKW11" s="283"/>
      <c r="AKX11" s="283"/>
      <c r="AKY11" s="283"/>
      <c r="AKZ11" s="283"/>
      <c r="ALA11" s="283"/>
      <c r="ALB11" s="283"/>
      <c r="ALC11" s="283"/>
      <c r="ALD11" s="283"/>
      <c r="ALE11" s="283"/>
      <c r="ALF11" s="283"/>
      <c r="ALG11" s="283"/>
      <c r="ALH11" s="283"/>
      <c r="ALI11" s="283"/>
      <c r="ALJ11" s="283"/>
      <c r="ALK11" s="283"/>
      <c r="ALL11" s="283"/>
      <c r="ALM11" s="283"/>
      <c r="ALN11" s="283"/>
      <c r="ALO11" s="283"/>
      <c r="ALP11" s="283"/>
      <c r="ALQ11" s="283"/>
      <c r="ALR11" s="283"/>
      <c r="ALS11" s="283"/>
      <c r="ALT11" s="283"/>
      <c r="ALU11" s="283"/>
      <c r="ALV11" s="283"/>
      <c r="ALW11" s="283"/>
      <c r="ALX11" s="283"/>
      <c r="ALY11" s="283"/>
      <c r="ALZ11" s="283"/>
      <c r="AMA11" s="283"/>
      <c r="AMB11" s="283"/>
      <c r="AMC11" s="283"/>
      <c r="AMD11" s="283"/>
      <c r="AME11" s="283"/>
      <c r="AMF11" s="283"/>
      <c r="AMG11" s="283"/>
      <c r="AMH11" s="283"/>
      <c r="AMI11" s="283"/>
      <c r="AMJ11" s="283"/>
      <c r="AMK11" s="283"/>
      <c r="AML11" s="283"/>
      <c r="AMM11" s="283"/>
      <c r="AMN11" s="283"/>
      <c r="AMO11" s="283"/>
      <c r="AMP11" s="283"/>
      <c r="AMQ11" s="283"/>
      <c r="AMR11" s="283"/>
      <c r="AMS11" s="283"/>
      <c r="AMT11" s="283"/>
      <c r="AMU11" s="283"/>
      <c r="AMV11" s="283"/>
      <c r="AMW11" s="283"/>
      <c r="AMX11" s="283"/>
      <c r="AMY11" s="283"/>
      <c r="AMZ11" s="283"/>
      <c r="ANA11" s="283"/>
      <c r="ANB11" s="283"/>
      <c r="ANC11" s="283"/>
      <c r="AND11" s="283"/>
      <c r="ANE11" s="283"/>
      <c r="ANF11" s="283"/>
      <c r="ANG11" s="283"/>
      <c r="ANH11" s="283"/>
      <c r="ANI11" s="283"/>
      <c r="ANJ11" s="283"/>
      <c r="ANK11" s="283"/>
      <c r="ANL11" s="283"/>
      <c r="ANM11" s="283"/>
      <c r="ANN11" s="283"/>
      <c r="ANO11" s="283"/>
      <c r="ANP11" s="283"/>
      <c r="ANQ11" s="283"/>
      <c r="ANR11" s="283"/>
      <c r="ANS11" s="283"/>
      <c r="ANT11" s="283"/>
      <c r="ANU11" s="283"/>
      <c r="ANV11" s="283"/>
      <c r="ANW11" s="283"/>
      <c r="ANX11" s="283"/>
      <c r="ANY11" s="283"/>
      <c r="ANZ11" s="283"/>
      <c r="AOA11" s="283"/>
      <c r="AOB11" s="283"/>
      <c r="AOC11" s="283"/>
      <c r="AOD11" s="283"/>
      <c r="AOE11" s="283"/>
      <c r="AOF11" s="283"/>
      <c r="AOG11" s="283"/>
      <c r="AOH11" s="283"/>
      <c r="AOI11" s="283"/>
      <c r="AOJ11" s="283"/>
      <c r="AOK11" s="283"/>
      <c r="AOL11" s="283"/>
      <c r="AOM11" s="283"/>
      <c r="AON11" s="283"/>
      <c r="AOO11" s="283"/>
      <c r="AOP11" s="283"/>
      <c r="AOQ11" s="283"/>
      <c r="AOR11" s="283"/>
      <c r="AOS11" s="283"/>
      <c r="AOT11" s="283"/>
      <c r="AOU11" s="283"/>
      <c r="AOV11" s="283"/>
      <c r="AOW11" s="283"/>
      <c r="AOX11" s="283"/>
      <c r="AOY11" s="283"/>
      <c r="AOZ11" s="283"/>
      <c r="APA11" s="283"/>
      <c r="APB11" s="283"/>
      <c r="APC11" s="283"/>
      <c r="APD11" s="283"/>
      <c r="APE11" s="283"/>
      <c r="APF11" s="283"/>
      <c r="APG11" s="283"/>
      <c r="APH11" s="283"/>
      <c r="API11" s="283"/>
      <c r="APJ11" s="283"/>
      <c r="APK11" s="283"/>
      <c r="APL11" s="283"/>
      <c r="APM11" s="283"/>
      <c r="APN11" s="283"/>
      <c r="APO11" s="283"/>
      <c r="APP11" s="283"/>
      <c r="APQ11" s="283"/>
      <c r="APR11" s="283"/>
      <c r="APS11" s="283"/>
      <c r="APT11" s="283"/>
      <c r="APU11" s="283"/>
      <c r="APV11" s="283"/>
      <c r="APW11" s="283"/>
      <c r="APX11" s="283"/>
      <c r="APY11" s="283"/>
      <c r="APZ11" s="283"/>
      <c r="AQA11" s="283"/>
      <c r="AQB11" s="283"/>
      <c r="AQC11" s="283"/>
      <c r="AQD11" s="283"/>
      <c r="AQE11" s="283"/>
      <c r="AQF11" s="283"/>
      <c r="AQG11" s="283"/>
      <c r="AQH11" s="283"/>
      <c r="AQI11" s="283"/>
      <c r="AQJ11" s="283"/>
      <c r="AQK11" s="283"/>
      <c r="AQL11" s="283"/>
      <c r="AQM11" s="283"/>
      <c r="AQN11" s="283"/>
      <c r="AQO11" s="283"/>
      <c r="AQP11" s="283"/>
      <c r="AQQ11" s="283"/>
      <c r="AQR11" s="283"/>
      <c r="AQS11" s="283"/>
      <c r="AQT11" s="283"/>
      <c r="AQU11" s="283"/>
      <c r="AQV11" s="283"/>
      <c r="AQW11" s="283"/>
      <c r="AQX11" s="283"/>
      <c r="AQY11" s="283"/>
      <c r="AQZ11" s="283"/>
      <c r="ARA11" s="283"/>
      <c r="ARB11" s="283"/>
      <c r="ARC11" s="283"/>
      <c r="ARD11" s="283"/>
      <c r="ARE11" s="283"/>
      <c r="ARF11" s="283"/>
      <c r="ARG11" s="283"/>
      <c r="ARH11" s="283"/>
      <c r="ARI11" s="283"/>
      <c r="ARJ11" s="283"/>
      <c r="ARK11" s="283"/>
      <c r="ARL11" s="283"/>
      <c r="ARM11" s="283"/>
      <c r="ARN11" s="283"/>
      <c r="ARO11" s="283"/>
      <c r="ARP11" s="283"/>
      <c r="ARQ11" s="283"/>
      <c r="ARR11" s="283"/>
      <c r="ARS11" s="283"/>
      <c r="ART11" s="283"/>
      <c r="ARU11" s="283"/>
      <c r="ARV11" s="283"/>
      <c r="ARW11" s="283"/>
      <c r="ARX11" s="283"/>
      <c r="ARY11" s="283"/>
      <c r="ARZ11" s="283"/>
      <c r="ASA11" s="283"/>
      <c r="ASB11" s="283"/>
      <c r="ASC11" s="283"/>
      <c r="ASD11" s="283"/>
      <c r="ASE11" s="283"/>
      <c r="ASF11" s="283"/>
      <c r="ASG11" s="283"/>
      <c r="ASH11" s="283"/>
      <c r="ASI11" s="283"/>
      <c r="ASJ11" s="283"/>
      <c r="ASK11" s="283"/>
      <c r="ASL11" s="283"/>
      <c r="ASM11" s="283"/>
      <c r="ASN11" s="283"/>
      <c r="ASO11" s="283"/>
      <c r="ASP11" s="283"/>
      <c r="ASQ11" s="283"/>
      <c r="ASR11" s="283"/>
      <c r="ASS11" s="283"/>
      <c r="AST11" s="283"/>
      <c r="ASU11" s="283"/>
      <c r="ASV11" s="283"/>
      <c r="ASW11" s="283"/>
      <c r="ASX11" s="283"/>
      <c r="ASY11" s="283"/>
      <c r="ASZ11" s="283"/>
      <c r="ATA11" s="283"/>
      <c r="ATB11" s="283"/>
      <c r="ATC11" s="283"/>
      <c r="ATD11" s="283"/>
      <c r="ATE11" s="283"/>
      <c r="ATF11" s="283"/>
      <c r="ATG11" s="283"/>
      <c r="ATH11" s="283"/>
      <c r="ATI11" s="283"/>
      <c r="ATJ11" s="283"/>
      <c r="ATK11" s="283"/>
      <c r="ATL11" s="283"/>
      <c r="ATM11" s="283"/>
      <c r="ATN11" s="283"/>
      <c r="ATO11" s="283"/>
      <c r="ATP11" s="283"/>
      <c r="ATQ11" s="283"/>
      <c r="ATR11" s="283"/>
      <c r="ATS11" s="283"/>
      <c r="ATT11" s="283"/>
      <c r="ATU11" s="283"/>
      <c r="ATV11" s="283"/>
      <c r="ATW11" s="283"/>
      <c r="ATX11" s="283"/>
      <c r="ATY11" s="283"/>
      <c r="ATZ11" s="283"/>
      <c r="AUA11" s="283"/>
      <c r="AUB11" s="283"/>
      <c r="AUC11" s="283"/>
      <c r="AUD11" s="283"/>
      <c r="AUE11" s="283"/>
      <c r="AUF11" s="283"/>
      <c r="AUG11" s="283"/>
      <c r="AUH11" s="283"/>
      <c r="AUI11" s="283"/>
      <c r="AUJ11" s="283"/>
      <c r="AUK11" s="283"/>
      <c r="AUL11" s="283"/>
      <c r="AUM11" s="283"/>
      <c r="AUN11" s="283"/>
      <c r="AUO11" s="283"/>
      <c r="AUP11" s="283"/>
      <c r="AUQ11" s="283"/>
      <c r="AUR11" s="283"/>
      <c r="AUS11" s="283"/>
      <c r="AUT11" s="283"/>
      <c r="AUU11" s="283"/>
      <c r="AUV11" s="283"/>
      <c r="AUW11" s="283"/>
      <c r="AUX11" s="283"/>
      <c r="AUY11" s="283"/>
      <c r="AUZ11" s="283"/>
      <c r="AVA11" s="283"/>
      <c r="AVB11" s="283"/>
      <c r="AVC11" s="283"/>
      <c r="AVD11" s="283"/>
      <c r="AVE11" s="283"/>
      <c r="AVF11" s="283"/>
      <c r="AVG11" s="283"/>
      <c r="AVH11" s="283"/>
      <c r="AVI11" s="283"/>
      <c r="AVJ11" s="283"/>
      <c r="AVK11" s="283"/>
      <c r="AVL11" s="283"/>
      <c r="AVM11" s="283"/>
      <c r="AVN11" s="283"/>
      <c r="AVO11" s="283"/>
      <c r="AVP11" s="283"/>
      <c r="AVQ11" s="283"/>
      <c r="AVR11" s="283"/>
      <c r="AVS11" s="283"/>
      <c r="AVT11" s="283"/>
      <c r="AVU11" s="283"/>
      <c r="AVV11" s="283"/>
      <c r="AVW11" s="283"/>
      <c r="AVX11" s="283"/>
      <c r="AVY11" s="283"/>
      <c r="AVZ11" s="283"/>
      <c r="AWA11" s="283"/>
      <c r="AWB11" s="283"/>
      <c r="AWC11" s="283"/>
      <c r="AWD11" s="283"/>
      <c r="AWE11" s="283"/>
      <c r="AWF11" s="283"/>
      <c r="AWG11" s="283"/>
      <c r="AWH11" s="283"/>
      <c r="AWI11" s="283"/>
      <c r="AWJ11" s="283"/>
      <c r="AWK11" s="283"/>
      <c r="AWL11" s="283"/>
      <c r="AWM11" s="283"/>
      <c r="AWN11" s="283"/>
      <c r="AWO11" s="283"/>
      <c r="AWP11" s="283"/>
      <c r="AWQ11" s="283"/>
      <c r="AWR11" s="283"/>
      <c r="AWS11" s="283"/>
      <c r="AWT11" s="283"/>
      <c r="AWU11" s="283"/>
      <c r="AWV11" s="283"/>
      <c r="AWW11" s="283"/>
      <c r="AWX11" s="283"/>
      <c r="AWY11" s="283"/>
      <c r="AWZ11" s="283"/>
      <c r="AXA11" s="283"/>
      <c r="AXB11" s="283"/>
      <c r="AXC11" s="283"/>
      <c r="AXD11" s="283"/>
      <c r="AXE11" s="283"/>
      <c r="AXF11" s="283"/>
      <c r="AXG11" s="283"/>
      <c r="AXH11" s="283"/>
      <c r="AXI11" s="283"/>
      <c r="AXJ11" s="283"/>
      <c r="AXK11" s="283"/>
      <c r="AXL11" s="283"/>
      <c r="AXM11" s="283"/>
      <c r="AXN11" s="283"/>
      <c r="AXO11" s="283"/>
      <c r="AXP11" s="283"/>
      <c r="AXQ11" s="283"/>
      <c r="AXR11" s="283"/>
      <c r="AXS11" s="283"/>
      <c r="AXT11" s="283"/>
      <c r="AXU11" s="283"/>
      <c r="AXV11" s="283"/>
      <c r="AXW11" s="283"/>
      <c r="AXX11" s="283"/>
      <c r="AXY11" s="283"/>
      <c r="AXZ11" s="283"/>
      <c r="AYA11" s="283"/>
      <c r="AYB11" s="283"/>
      <c r="AYC11" s="283"/>
      <c r="AYD11" s="283"/>
      <c r="AYE11" s="283"/>
      <c r="AYF11" s="283"/>
      <c r="AYG11" s="283"/>
      <c r="AYH11" s="283"/>
      <c r="AYI11" s="283"/>
      <c r="AYJ11" s="283"/>
      <c r="AYK11" s="283"/>
      <c r="AYL11" s="283"/>
      <c r="AYM11" s="283"/>
      <c r="AYN11" s="283"/>
      <c r="AYO11" s="283"/>
      <c r="AYP11" s="283"/>
      <c r="AYQ11" s="283"/>
      <c r="AYR11" s="283"/>
      <c r="AYS11" s="283"/>
      <c r="AYT11" s="283"/>
      <c r="AYU11" s="283"/>
      <c r="AYV11" s="283"/>
      <c r="AYW11" s="283"/>
      <c r="AYX11" s="283"/>
      <c r="AYY11" s="283"/>
      <c r="AYZ11" s="283"/>
      <c r="AZA11" s="283"/>
      <c r="AZB11" s="283"/>
      <c r="AZC11" s="283"/>
      <c r="AZD11" s="283"/>
      <c r="AZE11" s="283"/>
      <c r="AZF11" s="283"/>
      <c r="AZG11" s="283"/>
      <c r="AZH11" s="283"/>
      <c r="AZI11" s="283"/>
      <c r="AZJ11" s="283"/>
      <c r="AZK11" s="283"/>
      <c r="AZL11" s="283"/>
      <c r="AZM11" s="283"/>
      <c r="AZN11" s="283"/>
      <c r="AZO11" s="283"/>
      <c r="AZP11" s="283"/>
      <c r="AZQ11" s="283"/>
      <c r="AZR11" s="283"/>
      <c r="AZS11" s="283"/>
      <c r="AZT11" s="283"/>
      <c r="AZU11" s="283"/>
      <c r="AZV11" s="283"/>
      <c r="AZW11" s="283"/>
      <c r="AZX11" s="283"/>
      <c r="AZY11" s="283"/>
      <c r="AZZ11" s="283"/>
      <c r="BAA11" s="283"/>
      <c r="BAB11" s="283"/>
      <c r="BAC11" s="283"/>
      <c r="BAD11" s="283"/>
      <c r="BAE11" s="283"/>
      <c r="BAF11" s="283"/>
      <c r="BAG11" s="283"/>
      <c r="BAH11" s="283"/>
      <c r="BAI11" s="283"/>
      <c r="BAJ11" s="283"/>
      <c r="BAK11" s="283"/>
      <c r="BAL11" s="283"/>
      <c r="BAM11" s="283"/>
      <c r="BAN11" s="283"/>
      <c r="BAO11" s="283"/>
      <c r="BAP11" s="283"/>
      <c r="BAQ11" s="283"/>
      <c r="BAR11" s="283"/>
      <c r="BAS11" s="283"/>
      <c r="BAT11" s="283"/>
      <c r="BAU11" s="283"/>
      <c r="BAV11" s="283"/>
      <c r="BAW11" s="283"/>
      <c r="BAX11" s="283"/>
      <c r="BAY11" s="283"/>
      <c r="BAZ11" s="283"/>
      <c r="BBA11" s="283"/>
      <c r="BBB11" s="283"/>
      <c r="BBC11" s="283"/>
      <c r="BBD11" s="283"/>
      <c r="BBE11" s="283"/>
      <c r="BBF11" s="283"/>
      <c r="BBG11" s="283"/>
      <c r="BBH11" s="283"/>
      <c r="BBI11" s="283"/>
      <c r="BBJ11" s="283"/>
      <c r="BBK11" s="283"/>
      <c r="BBL11" s="283"/>
      <c r="BBM11" s="283"/>
      <c r="BBN11" s="283"/>
      <c r="BBO11" s="283"/>
      <c r="BBP11" s="283"/>
      <c r="BBQ11" s="283"/>
      <c r="BBR11" s="283"/>
      <c r="BBS11" s="283"/>
      <c r="BBT11" s="283"/>
      <c r="BBU11" s="283"/>
      <c r="BBV11" s="283"/>
      <c r="BBW11" s="283"/>
      <c r="BBX11" s="283"/>
      <c r="BBY11" s="283"/>
      <c r="BBZ11" s="283"/>
      <c r="BCA11" s="283"/>
      <c r="BCB11" s="283"/>
      <c r="BCC11" s="283"/>
      <c r="BCD11" s="283"/>
      <c r="BCE11" s="283"/>
      <c r="BCF11" s="283"/>
      <c r="BCG11" s="283"/>
      <c r="BCH11" s="283"/>
      <c r="BCI11" s="283"/>
      <c r="BCJ11" s="283"/>
      <c r="BCK11" s="283"/>
      <c r="BCL11" s="283"/>
      <c r="BCM11" s="283"/>
      <c r="BCN11" s="283"/>
      <c r="BCO11" s="283"/>
      <c r="BCP11" s="283"/>
      <c r="BCQ11" s="283"/>
      <c r="BCR11" s="283"/>
      <c r="BCS11" s="283"/>
      <c r="BCT11" s="283"/>
      <c r="BCU11" s="283"/>
      <c r="BCV11" s="283"/>
      <c r="BCW11" s="283"/>
      <c r="BCX11" s="283"/>
      <c r="BCY11" s="283"/>
      <c r="BCZ11" s="283"/>
      <c r="BDA11" s="283"/>
      <c r="BDB11" s="283"/>
      <c r="BDC11" s="283"/>
      <c r="BDD11" s="283"/>
      <c r="BDE11" s="283"/>
      <c r="BDF11" s="283"/>
      <c r="BDG11" s="283"/>
      <c r="BDH11" s="283"/>
      <c r="BDI11" s="283"/>
      <c r="BDJ11" s="283"/>
      <c r="BDK11" s="283"/>
      <c r="BDL11" s="283"/>
      <c r="BDM11" s="283"/>
      <c r="BDN11" s="283"/>
      <c r="BDO11" s="283"/>
      <c r="BDP11" s="283"/>
      <c r="BDQ11" s="283"/>
      <c r="BDR11" s="283"/>
      <c r="BDS11" s="283"/>
      <c r="BDT11" s="283"/>
      <c r="BDU11" s="283"/>
      <c r="BDV11" s="283"/>
      <c r="BDW11" s="283"/>
      <c r="BDX11" s="283"/>
      <c r="BDY11" s="283"/>
      <c r="BDZ11" s="283"/>
      <c r="BEA11" s="283"/>
      <c r="BEB11" s="283"/>
      <c r="BEC11" s="283"/>
      <c r="BED11" s="283"/>
      <c r="BEE11" s="283"/>
      <c r="BEF11" s="283"/>
      <c r="BEG11" s="283"/>
      <c r="BEH11" s="283"/>
      <c r="BEI11" s="283"/>
      <c r="BEJ11" s="283"/>
      <c r="BEK11" s="283"/>
      <c r="BEL11" s="283"/>
      <c r="BEM11" s="283"/>
      <c r="BEN11" s="283"/>
      <c r="BEO11" s="283"/>
      <c r="BEP11" s="283"/>
      <c r="BEQ11" s="283"/>
      <c r="BER11" s="283"/>
      <c r="BES11" s="283"/>
      <c r="BET11" s="283"/>
      <c r="BEU11" s="283"/>
      <c r="BEV11" s="283"/>
      <c r="BEW11" s="283"/>
      <c r="BEX11" s="283"/>
      <c r="BEY11" s="283"/>
      <c r="BEZ11" s="283"/>
      <c r="BFA11" s="283"/>
      <c r="BFB11" s="283"/>
      <c r="BFC11" s="283"/>
      <c r="BFD11" s="283"/>
      <c r="BFE11" s="283"/>
      <c r="BFF11" s="283"/>
      <c r="BFG11" s="283"/>
      <c r="BFH11" s="283"/>
      <c r="BFI11" s="283"/>
      <c r="BFJ11" s="283"/>
      <c r="BFK11" s="283"/>
      <c r="BFL11" s="283"/>
      <c r="BFM11" s="283"/>
      <c r="BFN11" s="283"/>
      <c r="BFO11" s="283"/>
      <c r="BFP11" s="283"/>
      <c r="BFQ11" s="283"/>
      <c r="BFR11" s="283"/>
      <c r="BFS11" s="283"/>
      <c r="BFT11" s="283"/>
      <c r="BFU11" s="283"/>
      <c r="BFV11" s="283"/>
      <c r="BFW11" s="283"/>
      <c r="BFX11" s="283"/>
      <c r="BFY11" s="283"/>
      <c r="BFZ11" s="283"/>
      <c r="BGA11" s="283"/>
      <c r="BGB11" s="283"/>
      <c r="BGC11" s="283"/>
      <c r="BGD11" s="283"/>
      <c r="BGE11" s="283"/>
      <c r="BGF11" s="283"/>
      <c r="BGG11" s="283"/>
      <c r="BGH11" s="283"/>
      <c r="BGI11" s="283"/>
      <c r="BGJ11" s="283"/>
      <c r="BGK11" s="283"/>
      <c r="BGL11" s="283"/>
      <c r="BGM11" s="283"/>
      <c r="BGN11" s="283"/>
      <c r="BGO11" s="283"/>
      <c r="BGP11" s="283"/>
      <c r="BGQ11" s="283"/>
      <c r="BGR11" s="283"/>
      <c r="BGS11" s="283"/>
      <c r="BGT11" s="283"/>
      <c r="BGU11" s="283"/>
      <c r="BGV11" s="283"/>
      <c r="BGW11" s="283"/>
      <c r="BGX11" s="283"/>
      <c r="BGY11" s="283"/>
      <c r="BGZ11" s="283"/>
      <c r="BHA11" s="283"/>
      <c r="BHB11" s="283"/>
      <c r="BHC11" s="283"/>
      <c r="BHD11" s="283"/>
      <c r="BHE11" s="283"/>
      <c r="BHF11" s="283"/>
      <c r="BHG11" s="283"/>
      <c r="BHH11" s="283"/>
      <c r="BHI11" s="283"/>
      <c r="BHJ11" s="283"/>
      <c r="BHK11" s="283"/>
      <c r="BHL11" s="283"/>
      <c r="BHM11" s="283"/>
      <c r="BHN11" s="283"/>
      <c r="BHO11" s="283"/>
      <c r="BHP11" s="283"/>
      <c r="BHQ11" s="283"/>
      <c r="BHR11" s="283"/>
      <c r="BHS11" s="283"/>
      <c r="BHT11" s="283"/>
      <c r="BHU11" s="283"/>
      <c r="BHV11" s="283"/>
      <c r="BHW11" s="283"/>
      <c r="BHX11" s="283"/>
      <c r="BHY11" s="283"/>
      <c r="BHZ11" s="283"/>
      <c r="BIA11" s="283"/>
      <c r="BIB11" s="283"/>
      <c r="BIC11" s="283"/>
      <c r="BID11" s="283"/>
      <c r="BIE11" s="283"/>
      <c r="BIF11" s="283"/>
      <c r="BIG11" s="283"/>
      <c r="BIH11" s="283"/>
      <c r="BII11" s="283"/>
      <c r="BIJ11" s="283"/>
      <c r="BIK11" s="283"/>
      <c r="BIL11" s="283"/>
      <c r="BIM11" s="283"/>
      <c r="BIN11" s="283"/>
      <c r="BIO11" s="283"/>
      <c r="BIP11" s="283"/>
      <c r="BIQ11" s="283"/>
      <c r="BIR11" s="283"/>
      <c r="BIS11" s="283"/>
      <c r="BIT11" s="283"/>
      <c r="BIU11" s="283"/>
      <c r="BIV11" s="283"/>
      <c r="BIW11" s="283"/>
      <c r="BIX11" s="283"/>
      <c r="BIY11" s="283"/>
      <c r="BIZ11" s="283"/>
      <c r="BJA11" s="283"/>
      <c r="BJB11" s="283"/>
      <c r="BJC11" s="283"/>
      <c r="BJD11" s="283"/>
      <c r="BJE11" s="283"/>
      <c r="BJF11" s="283"/>
      <c r="BJG11" s="283"/>
      <c r="BJH11" s="283"/>
      <c r="BJI11" s="283"/>
      <c r="BJJ11" s="283"/>
      <c r="BJK11" s="283"/>
      <c r="BJL11" s="283"/>
      <c r="BJM11" s="283"/>
      <c r="BJN11" s="283"/>
      <c r="BJO11" s="283"/>
      <c r="BJP11" s="283"/>
      <c r="BJQ11" s="283"/>
      <c r="BJR11" s="283"/>
      <c r="BJS11" s="283"/>
      <c r="BJT11" s="283"/>
      <c r="BJU11" s="283"/>
      <c r="BJV11" s="283"/>
      <c r="BJW11" s="283"/>
      <c r="BJX11" s="283"/>
      <c r="BJY11" s="283"/>
      <c r="BJZ11" s="283"/>
      <c r="BKA11" s="283"/>
      <c r="BKB11" s="283"/>
      <c r="BKC11" s="283"/>
      <c r="BKD11" s="283"/>
      <c r="BKE11" s="283"/>
      <c r="BKF11" s="283"/>
      <c r="BKG11" s="283"/>
      <c r="BKH11" s="283"/>
      <c r="BKI11" s="283"/>
      <c r="BKJ11" s="283"/>
      <c r="BKK11" s="283"/>
      <c r="BKL11" s="283"/>
      <c r="BKM11" s="283"/>
      <c r="BKN11" s="283"/>
      <c r="BKO11" s="283"/>
      <c r="BKP11" s="283"/>
      <c r="BKQ11" s="283"/>
      <c r="BKR11" s="283"/>
      <c r="BKS11" s="283"/>
      <c r="BKT11" s="283"/>
      <c r="BKU11" s="283"/>
      <c r="BKV11" s="283"/>
      <c r="BKW11" s="283"/>
      <c r="BKX11" s="283"/>
      <c r="BKY11" s="283"/>
      <c r="BKZ11" s="283"/>
      <c r="BLA11" s="283"/>
      <c r="BLB11" s="283"/>
      <c r="BLC11" s="283"/>
      <c r="BLD11" s="283"/>
      <c r="BLE11" s="283"/>
      <c r="BLF11" s="283"/>
      <c r="BLG11" s="283"/>
      <c r="BLH11" s="283"/>
      <c r="BLI11" s="283"/>
      <c r="BLJ11" s="283"/>
      <c r="BLK11" s="283"/>
      <c r="BLL11" s="283"/>
      <c r="BLM11" s="283"/>
      <c r="BLN11" s="283"/>
      <c r="BLO11" s="283"/>
      <c r="BLP11" s="283"/>
      <c r="BLQ11" s="283"/>
      <c r="BLR11" s="283"/>
      <c r="BLS11" s="283"/>
      <c r="BLT11" s="283"/>
      <c r="BLU11" s="283"/>
      <c r="BLV11" s="283"/>
      <c r="BLW11" s="283"/>
      <c r="BLX11" s="283"/>
      <c r="BLY11" s="283"/>
      <c r="BLZ11" s="283"/>
      <c r="BMA11" s="283"/>
      <c r="BMB11" s="283"/>
      <c r="BMC11" s="283"/>
      <c r="BMD11" s="283"/>
      <c r="BME11" s="283"/>
      <c r="BMF11" s="283"/>
      <c r="BMG11" s="283"/>
      <c r="BMH11" s="283"/>
      <c r="BMI11" s="283"/>
      <c r="BMJ11" s="283"/>
      <c r="BMK11" s="283"/>
      <c r="BML11" s="283"/>
      <c r="BMM11" s="283"/>
      <c r="BMN11" s="283"/>
      <c r="BMO11" s="283"/>
      <c r="BMP11" s="283"/>
      <c r="BMQ11" s="283"/>
      <c r="BMR11" s="283"/>
      <c r="BMS11" s="283"/>
      <c r="BMT11" s="283"/>
      <c r="BMU11" s="283"/>
      <c r="BMV11" s="283"/>
      <c r="BMW11" s="283"/>
      <c r="BMX11" s="283"/>
      <c r="BMY11" s="283"/>
      <c r="BMZ11" s="283"/>
      <c r="BNA11" s="283"/>
      <c r="BNB11" s="283"/>
      <c r="BNC11" s="283"/>
      <c r="BND11" s="283"/>
      <c r="BNE11" s="283"/>
      <c r="BNF11" s="283"/>
      <c r="BNG11" s="283"/>
      <c r="BNH11" s="283"/>
      <c r="BNI11" s="283"/>
      <c r="BNJ11" s="283"/>
      <c r="BNK11" s="283"/>
      <c r="BNL11" s="283"/>
      <c r="BNM11" s="283"/>
      <c r="BNN11" s="283"/>
      <c r="BNO11" s="283"/>
      <c r="BNP11" s="283"/>
      <c r="BNQ11" s="283"/>
      <c r="BNR11" s="283"/>
      <c r="BNS11" s="283"/>
      <c r="BNT11" s="283"/>
      <c r="BNU11" s="283"/>
      <c r="BNV11" s="283"/>
      <c r="BNW11" s="283"/>
      <c r="BNX11" s="283"/>
      <c r="BNY11" s="283"/>
      <c r="BNZ11" s="283"/>
      <c r="BOA11" s="283"/>
      <c r="BOB11" s="283"/>
      <c r="BOC11" s="283"/>
      <c r="BOD11" s="283"/>
      <c r="BOE11" s="283"/>
      <c r="BOF11" s="283"/>
      <c r="BOG11" s="283"/>
      <c r="BOH11" s="283"/>
      <c r="BOI11" s="283"/>
      <c r="BOJ11" s="283"/>
      <c r="BOK11" s="283"/>
      <c r="BOL11" s="283"/>
      <c r="BOM11" s="283"/>
      <c r="BON11" s="283"/>
      <c r="BOO11" s="283"/>
      <c r="BOP11" s="283"/>
      <c r="BOQ11" s="283"/>
      <c r="BOR11" s="283"/>
      <c r="BOS11" s="283"/>
      <c r="BOT11" s="283"/>
      <c r="BOU11" s="283"/>
      <c r="BOV11" s="283"/>
      <c r="BOW11" s="283"/>
      <c r="BOX11" s="283"/>
      <c r="BOY11" s="283"/>
      <c r="BOZ11" s="283"/>
      <c r="BPA11" s="283"/>
      <c r="BPB11" s="283"/>
      <c r="BPC11" s="283"/>
      <c r="BPD11" s="283"/>
      <c r="BPE11" s="283"/>
      <c r="BPF11" s="283"/>
      <c r="BPG11" s="283"/>
      <c r="BPH11" s="283"/>
      <c r="BPI11" s="283"/>
      <c r="BPJ11" s="283"/>
      <c r="BPK11" s="283"/>
      <c r="BPL11" s="283"/>
      <c r="BPM11" s="283"/>
      <c r="BPN11" s="283"/>
      <c r="BPO11" s="283"/>
      <c r="BPP11" s="283"/>
      <c r="BPQ11" s="283"/>
      <c r="BPR11" s="283"/>
      <c r="BPS11" s="283"/>
      <c r="BPT11" s="283"/>
      <c r="BPU11" s="283"/>
      <c r="BPV11" s="283"/>
      <c r="BPW11" s="283"/>
      <c r="BPX11" s="283"/>
      <c r="BPY11" s="283"/>
      <c r="BPZ11" s="283"/>
      <c r="BQA11" s="283"/>
      <c r="BQB11" s="283"/>
      <c r="BQC11" s="283"/>
      <c r="BQD11" s="283"/>
      <c r="BQE11" s="283"/>
      <c r="BQF11" s="283"/>
      <c r="BQG11" s="283"/>
      <c r="BQH11" s="283"/>
      <c r="BQI11" s="283"/>
      <c r="BQJ11" s="283"/>
      <c r="BQK11" s="283"/>
      <c r="BQL11" s="283"/>
      <c r="BQM11" s="283"/>
      <c r="BQN11" s="283"/>
      <c r="BQO11" s="283"/>
      <c r="BQP11" s="283"/>
      <c r="BQQ11" s="283"/>
      <c r="BQR11" s="283"/>
      <c r="BQS11" s="283"/>
      <c r="BQT11" s="283"/>
      <c r="BQU11" s="283"/>
      <c r="BQV11" s="283"/>
      <c r="BQW11" s="283"/>
      <c r="BQX11" s="283"/>
      <c r="BQY11" s="283"/>
      <c r="BQZ11" s="283"/>
      <c r="BRA11" s="283"/>
      <c r="BRB11" s="283"/>
      <c r="BRC11" s="283"/>
      <c r="BRD11" s="283"/>
      <c r="BRE11" s="283"/>
      <c r="BRF11" s="283"/>
      <c r="BRG11" s="283"/>
      <c r="BRH11" s="283"/>
      <c r="BRI11" s="283"/>
      <c r="BRJ11" s="283"/>
      <c r="BRK11" s="283"/>
      <c r="BRL11" s="283"/>
      <c r="BRM11" s="283"/>
      <c r="BRN11" s="283"/>
      <c r="BRO11" s="283"/>
      <c r="BRP11" s="283"/>
      <c r="BRQ11" s="283"/>
      <c r="BRR11" s="283"/>
      <c r="BRS11" s="283"/>
      <c r="BRT11" s="283"/>
      <c r="BRU11" s="283"/>
      <c r="BRV11" s="283"/>
      <c r="BRW11" s="283"/>
      <c r="BRX11" s="283"/>
      <c r="BRY11" s="283"/>
      <c r="BRZ11" s="283"/>
      <c r="BSA11" s="283"/>
      <c r="BSB11" s="283"/>
      <c r="BSC11" s="283"/>
      <c r="BSD11" s="283"/>
      <c r="BSE11" s="283"/>
      <c r="BSF11" s="283"/>
      <c r="BSG11" s="283"/>
      <c r="BSH11" s="283"/>
      <c r="BSI11" s="283"/>
      <c r="BSJ11" s="283"/>
      <c r="BSK11" s="283"/>
      <c r="BSL11" s="283"/>
      <c r="BSM11" s="283"/>
      <c r="BSN11" s="283"/>
      <c r="BSO11" s="283"/>
      <c r="BSP11" s="283"/>
      <c r="BSQ11" s="283"/>
      <c r="BSR11" s="283"/>
      <c r="BSS11" s="283"/>
      <c r="BST11" s="283"/>
      <c r="BSU11" s="283"/>
      <c r="BSV11" s="283"/>
      <c r="BSW11" s="283"/>
      <c r="BSX11" s="283"/>
      <c r="BSY11" s="283"/>
      <c r="BSZ11" s="283"/>
      <c r="BTA11" s="283"/>
      <c r="BTB11" s="283"/>
      <c r="BTC11" s="283"/>
      <c r="BTD11" s="283"/>
      <c r="BTE11" s="283"/>
      <c r="BTF11" s="283"/>
      <c r="BTG11" s="283"/>
      <c r="BTH11" s="283"/>
      <c r="BTI11" s="283"/>
      <c r="BTJ11" s="283"/>
      <c r="BTK11" s="283"/>
      <c r="BTL11" s="283"/>
      <c r="BTM11" s="283"/>
      <c r="BTN11" s="283"/>
      <c r="BTO11" s="283"/>
      <c r="BTP11" s="283"/>
      <c r="BTQ11" s="283"/>
      <c r="BTR11" s="283"/>
      <c r="BTS11" s="283"/>
      <c r="BTT11" s="283"/>
      <c r="BTU11" s="283"/>
      <c r="BTV11" s="283"/>
      <c r="BTW11" s="283"/>
      <c r="BTX11" s="283"/>
      <c r="BTY11" s="283"/>
      <c r="BTZ11" s="283"/>
      <c r="BUA11" s="283"/>
      <c r="BUB11" s="283"/>
      <c r="BUC11" s="283"/>
      <c r="BUD11" s="283"/>
      <c r="BUE11" s="283"/>
      <c r="BUF11" s="283"/>
      <c r="BUG11" s="283"/>
      <c r="BUH11" s="283"/>
      <c r="BUI11" s="283"/>
      <c r="BUJ11" s="283"/>
      <c r="BUK11" s="283"/>
      <c r="BUL11" s="283"/>
      <c r="BUM11" s="283"/>
      <c r="BUN11" s="283"/>
      <c r="BUO11" s="283"/>
      <c r="BUP11" s="283"/>
      <c r="BUQ11" s="283"/>
      <c r="BUR11" s="283"/>
      <c r="BUS11" s="283"/>
      <c r="BUT11" s="283"/>
      <c r="BUU11" s="283"/>
      <c r="BUV11" s="283"/>
      <c r="BUW11" s="283"/>
      <c r="BUX11" s="283"/>
      <c r="BUY11" s="283"/>
      <c r="BUZ11" s="283"/>
      <c r="BVA11" s="283"/>
      <c r="BVB11" s="283"/>
      <c r="BVC11" s="283"/>
      <c r="BVD11" s="283"/>
      <c r="BVE11" s="283"/>
      <c r="BVF11" s="283"/>
      <c r="BVG11" s="283"/>
      <c r="BVH11" s="283"/>
      <c r="BVI11" s="283"/>
      <c r="BVJ11" s="283"/>
      <c r="BVK11" s="283"/>
      <c r="BVL11" s="283"/>
      <c r="BVM11" s="283"/>
      <c r="BVN11" s="283"/>
      <c r="BVO11" s="283"/>
      <c r="BVP11" s="283"/>
      <c r="BVQ11" s="283"/>
      <c r="BVR11" s="283"/>
      <c r="BVS11" s="283"/>
      <c r="BVT11" s="283"/>
      <c r="BVU11" s="283"/>
      <c r="BVV11" s="283"/>
      <c r="BVW11" s="283"/>
      <c r="BVX11" s="283"/>
      <c r="BVY11" s="283"/>
      <c r="BVZ11" s="283"/>
      <c r="BWA11" s="283"/>
      <c r="BWB11" s="283"/>
      <c r="BWC11" s="283"/>
      <c r="BWD11" s="283"/>
      <c r="BWE11" s="283"/>
      <c r="BWF11" s="283"/>
      <c r="BWG11" s="283"/>
      <c r="BWH11" s="283"/>
      <c r="BWI11" s="283"/>
      <c r="BWJ11" s="283"/>
      <c r="BWK11" s="283"/>
      <c r="BWL11" s="283"/>
      <c r="BWM11" s="283"/>
      <c r="BWN11" s="283"/>
      <c r="BWO11" s="283"/>
      <c r="BWP11" s="283"/>
      <c r="BWQ11" s="283"/>
      <c r="BWR11" s="283"/>
      <c r="BWS11" s="283"/>
      <c r="BWT11" s="283"/>
      <c r="BWU11" s="283"/>
      <c r="BWV11" s="283"/>
      <c r="BWW11" s="283"/>
      <c r="BWX11" s="283"/>
      <c r="BWY11" s="283"/>
      <c r="BWZ11" s="283"/>
      <c r="BXA11" s="283"/>
      <c r="BXB11" s="283"/>
      <c r="BXC11" s="283"/>
      <c r="BXD11" s="283"/>
      <c r="BXE11" s="283"/>
      <c r="BXF11" s="283"/>
      <c r="BXG11" s="283"/>
      <c r="BXH11" s="283"/>
      <c r="BXI11" s="283"/>
      <c r="BXJ11" s="283"/>
      <c r="BXK11" s="283"/>
      <c r="BXL11" s="283"/>
      <c r="BXM11" s="283"/>
      <c r="BXN11" s="283"/>
      <c r="BXO11" s="283"/>
      <c r="BXP11" s="283"/>
      <c r="BXQ11" s="283"/>
      <c r="BXR11" s="283"/>
      <c r="BXS11" s="283"/>
      <c r="BXT11" s="283"/>
      <c r="BXU11" s="283"/>
      <c r="BXV11" s="283"/>
      <c r="BXW11" s="283"/>
      <c r="BXX11" s="283"/>
      <c r="BXY11" s="283"/>
      <c r="BXZ11" s="283"/>
      <c r="BYA11" s="283"/>
      <c r="BYB11" s="283"/>
      <c r="BYC11" s="283"/>
      <c r="BYD11" s="283"/>
      <c r="BYE11" s="283"/>
      <c r="BYF11" s="283"/>
      <c r="BYG11" s="283"/>
      <c r="BYH11" s="283"/>
      <c r="BYI11" s="283"/>
      <c r="BYJ11" s="283"/>
      <c r="BYK11" s="283"/>
      <c r="BYL11" s="283"/>
      <c r="BYM11" s="283"/>
      <c r="BYN11" s="283"/>
      <c r="BYO11" s="283"/>
      <c r="BYP11" s="283"/>
      <c r="BYQ11" s="283"/>
      <c r="BYR11" s="283"/>
      <c r="BYS11" s="283"/>
      <c r="BYT11" s="283"/>
      <c r="BYU11" s="283"/>
      <c r="BYV11" s="283"/>
      <c r="BYW11" s="283"/>
      <c r="BYX11" s="283"/>
      <c r="BYY11" s="283"/>
      <c r="BYZ11" s="283"/>
      <c r="BZA11" s="283"/>
      <c r="BZB11" s="283"/>
      <c r="BZC11" s="283"/>
      <c r="BZD11" s="283"/>
      <c r="BZE11" s="283"/>
      <c r="BZF11" s="283"/>
      <c r="BZG11" s="283"/>
      <c r="BZH11" s="283"/>
      <c r="BZI11" s="283"/>
      <c r="BZJ11" s="283"/>
      <c r="BZK11" s="283"/>
      <c r="BZL11" s="283"/>
      <c r="BZM11" s="283"/>
      <c r="BZN11" s="283"/>
      <c r="BZO11" s="283"/>
      <c r="BZP11" s="283"/>
      <c r="BZQ11" s="283"/>
      <c r="BZR11" s="283"/>
      <c r="BZS11" s="283"/>
      <c r="BZT11" s="283"/>
      <c r="BZU11" s="283"/>
      <c r="BZV11" s="283"/>
      <c r="BZW11" s="283"/>
      <c r="BZX11" s="283"/>
      <c r="BZY11" s="283"/>
      <c r="BZZ11" s="283"/>
      <c r="CAA11" s="283"/>
      <c r="CAB11" s="283"/>
      <c r="CAC11" s="283"/>
      <c r="CAD11" s="283"/>
      <c r="CAE11" s="283"/>
      <c r="CAF11" s="283"/>
      <c r="CAG11" s="283"/>
      <c r="CAH11" s="283"/>
      <c r="CAI11" s="283"/>
      <c r="CAJ11" s="283"/>
      <c r="CAK11" s="283"/>
      <c r="CAL11" s="283"/>
      <c r="CAM11" s="283"/>
      <c r="CAN11" s="283"/>
      <c r="CAO11" s="283"/>
      <c r="CAP11" s="283"/>
      <c r="CAQ11" s="283"/>
      <c r="CAR11" s="283"/>
      <c r="CAS11" s="283"/>
      <c r="CAT11" s="283"/>
      <c r="CAU11" s="283"/>
      <c r="CAV11" s="283"/>
      <c r="CAW11" s="283"/>
      <c r="CAX11" s="283"/>
      <c r="CAY11" s="283"/>
      <c r="CAZ11" s="283"/>
      <c r="CBA11" s="283"/>
      <c r="CBB11" s="283"/>
      <c r="CBC11" s="283"/>
      <c r="CBD11" s="283"/>
      <c r="CBE11" s="283"/>
      <c r="CBF11" s="283"/>
      <c r="CBG11" s="283"/>
      <c r="CBH11" s="283"/>
      <c r="CBI11" s="283"/>
      <c r="CBJ11" s="283"/>
      <c r="CBK11" s="283"/>
      <c r="CBL11" s="283"/>
      <c r="CBM11" s="283"/>
      <c r="CBN11" s="283"/>
      <c r="CBO11" s="283"/>
      <c r="CBP11" s="283"/>
      <c r="CBQ11" s="283"/>
      <c r="CBR11" s="283"/>
      <c r="CBS11" s="283"/>
      <c r="CBT11" s="283"/>
      <c r="CBU11" s="283"/>
      <c r="CBV11" s="283"/>
      <c r="CBW11" s="283"/>
      <c r="CBX11" s="283"/>
      <c r="CBY11" s="283"/>
      <c r="CBZ11" s="283"/>
      <c r="CCA11" s="283"/>
      <c r="CCB11" s="283"/>
      <c r="CCC11" s="283"/>
      <c r="CCD11" s="283"/>
      <c r="CCE11" s="283"/>
      <c r="CCF11" s="283"/>
      <c r="CCG11" s="283"/>
      <c r="CCH11" s="283"/>
      <c r="CCI11" s="283"/>
      <c r="CCJ11" s="283"/>
      <c r="CCK11" s="283"/>
      <c r="CCL11" s="283"/>
      <c r="CCM11" s="283"/>
      <c r="CCN11" s="283"/>
      <c r="CCO11" s="283"/>
      <c r="CCP11" s="283"/>
      <c r="CCQ11" s="283"/>
      <c r="CCR11" s="283"/>
      <c r="CCS11" s="283"/>
      <c r="CCT11" s="283"/>
      <c r="CCU11" s="283"/>
      <c r="CCV11" s="283"/>
      <c r="CCW11" s="283"/>
    </row>
    <row r="12" spans="1:2129 15008:15057" s="281" customFormat="1" ht="16.350000000000001" customHeight="1" x14ac:dyDescent="0.25">
      <c r="A12" s="284" t="s">
        <v>55</v>
      </c>
      <c r="B12" s="284">
        <v>3</v>
      </c>
      <c r="C12" s="284"/>
      <c r="D12" s="284"/>
      <c r="E12" s="284"/>
      <c r="F12" s="284"/>
      <c r="G12" s="285" t="s">
        <v>240</v>
      </c>
      <c r="H12" s="286" t="s">
        <v>241</v>
      </c>
      <c r="I12" s="286"/>
      <c r="J12" s="287"/>
      <c r="K12" s="288"/>
      <c r="L12" s="288"/>
      <c r="M12" s="289"/>
      <c r="N12" s="290">
        <v>43508</v>
      </c>
      <c r="O12" s="290">
        <v>43508</v>
      </c>
      <c r="P12" s="289">
        <v>1</v>
      </c>
      <c r="Q12" s="291">
        <v>0.5</v>
      </c>
      <c r="R12" s="288"/>
      <c r="S12" s="288"/>
      <c r="T12" s="289"/>
      <c r="U12" s="292"/>
      <c r="V12" s="292"/>
      <c r="W12" s="292"/>
      <c r="X12" s="293"/>
      <c r="Y12" s="294"/>
      <c r="Z12" s="295"/>
      <c r="AA12" s="296"/>
      <c r="AB12" s="297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83"/>
      <c r="CH12" s="283"/>
      <c r="CI12" s="283"/>
      <c r="CJ12" s="283"/>
      <c r="CK12" s="283"/>
      <c r="CL12" s="283"/>
      <c r="CM12" s="283"/>
      <c r="CN12" s="283"/>
      <c r="CO12" s="283"/>
      <c r="CP12" s="283"/>
      <c r="CQ12" s="283"/>
      <c r="CR12" s="283"/>
      <c r="CS12" s="283"/>
      <c r="CT12" s="283"/>
      <c r="CU12" s="283"/>
      <c r="CV12" s="283"/>
      <c r="CW12" s="283"/>
      <c r="CX12" s="283"/>
      <c r="CY12" s="283"/>
      <c r="CZ12" s="283"/>
      <c r="DA12" s="283"/>
      <c r="DB12" s="283"/>
      <c r="DC12" s="283"/>
      <c r="DD12" s="283"/>
      <c r="DE12" s="283"/>
      <c r="DF12" s="283"/>
      <c r="DG12" s="283"/>
      <c r="DH12" s="283"/>
      <c r="DI12" s="283"/>
      <c r="DJ12" s="283"/>
      <c r="DK12" s="283"/>
      <c r="DL12" s="283"/>
      <c r="DM12" s="283"/>
      <c r="DN12" s="283"/>
      <c r="DO12" s="283"/>
      <c r="DP12" s="283"/>
      <c r="DQ12" s="283"/>
      <c r="DR12" s="283"/>
      <c r="DS12" s="283"/>
      <c r="DT12" s="283"/>
      <c r="DU12" s="283"/>
      <c r="DV12" s="283"/>
      <c r="DW12" s="283"/>
      <c r="DX12" s="283"/>
      <c r="DY12" s="283"/>
      <c r="DZ12" s="283"/>
      <c r="EA12" s="283"/>
      <c r="EB12" s="283"/>
      <c r="EC12" s="283"/>
      <c r="ED12" s="283"/>
      <c r="EE12" s="283"/>
      <c r="EF12" s="283"/>
      <c r="EG12" s="283"/>
      <c r="EH12" s="283"/>
      <c r="EI12" s="283"/>
      <c r="EJ12" s="283"/>
      <c r="EK12" s="283"/>
      <c r="EL12" s="283"/>
      <c r="EM12" s="283"/>
      <c r="EN12" s="283"/>
      <c r="EO12" s="283"/>
      <c r="EP12" s="283"/>
      <c r="EQ12" s="283"/>
      <c r="ER12" s="283"/>
      <c r="ES12" s="283"/>
      <c r="ET12" s="283"/>
      <c r="EU12" s="283"/>
      <c r="EV12" s="283"/>
      <c r="EW12" s="283"/>
      <c r="EX12" s="283"/>
      <c r="EY12" s="283"/>
      <c r="EZ12" s="283"/>
      <c r="FA12" s="283"/>
      <c r="FB12" s="283"/>
      <c r="FC12" s="283"/>
      <c r="FD12" s="283"/>
      <c r="FE12" s="283"/>
      <c r="FF12" s="283"/>
      <c r="FG12" s="283"/>
      <c r="FH12" s="283"/>
      <c r="FI12" s="283"/>
      <c r="FJ12" s="283"/>
      <c r="FK12" s="283"/>
      <c r="FL12" s="283"/>
      <c r="FM12" s="283"/>
      <c r="FN12" s="283"/>
      <c r="FO12" s="283"/>
      <c r="FP12" s="283"/>
      <c r="FQ12" s="283"/>
      <c r="FR12" s="283"/>
      <c r="FS12" s="283"/>
      <c r="FT12" s="283"/>
      <c r="FU12" s="283"/>
      <c r="FV12" s="283"/>
      <c r="FW12" s="283"/>
      <c r="FX12" s="283"/>
      <c r="FY12" s="283"/>
      <c r="FZ12" s="283"/>
      <c r="GA12" s="283"/>
      <c r="GB12" s="283"/>
      <c r="GC12" s="283"/>
      <c r="GD12" s="283"/>
      <c r="GE12" s="283"/>
      <c r="GF12" s="283"/>
      <c r="GG12" s="283"/>
      <c r="GH12" s="283"/>
      <c r="GI12" s="283"/>
      <c r="GJ12" s="283"/>
      <c r="GK12" s="283"/>
      <c r="GL12" s="283"/>
      <c r="GM12" s="283"/>
      <c r="GN12" s="283"/>
      <c r="GO12" s="283"/>
      <c r="GP12" s="283"/>
      <c r="GQ12" s="283"/>
      <c r="GR12" s="283"/>
      <c r="GS12" s="283"/>
      <c r="GT12" s="283"/>
      <c r="GU12" s="283"/>
      <c r="GV12" s="283"/>
      <c r="GW12" s="283"/>
      <c r="GX12" s="283"/>
      <c r="GY12" s="283"/>
      <c r="GZ12" s="283"/>
      <c r="HA12" s="283"/>
      <c r="HB12" s="283"/>
      <c r="HC12" s="283"/>
      <c r="HD12" s="283"/>
      <c r="HE12" s="283"/>
      <c r="HF12" s="283"/>
      <c r="HG12" s="283"/>
      <c r="HH12" s="283"/>
      <c r="HI12" s="283"/>
      <c r="HJ12" s="283"/>
      <c r="HK12" s="283"/>
      <c r="HL12" s="283"/>
      <c r="HM12" s="283"/>
      <c r="HN12" s="283"/>
      <c r="HO12" s="283"/>
      <c r="HP12" s="283"/>
      <c r="HQ12" s="283"/>
      <c r="HR12" s="283"/>
      <c r="HS12" s="283"/>
      <c r="HT12" s="283"/>
      <c r="HU12" s="283"/>
      <c r="HV12" s="283"/>
      <c r="HW12" s="283"/>
      <c r="HX12" s="283"/>
      <c r="HY12" s="283"/>
      <c r="HZ12" s="283"/>
      <c r="IA12" s="283"/>
      <c r="IB12" s="283"/>
      <c r="IC12" s="283"/>
      <c r="ID12" s="283"/>
      <c r="IE12" s="283"/>
      <c r="IF12" s="283"/>
      <c r="IG12" s="283"/>
      <c r="IH12" s="283"/>
      <c r="II12" s="283"/>
      <c r="IJ12" s="283"/>
      <c r="IK12" s="283"/>
      <c r="IL12" s="283"/>
      <c r="IM12" s="283"/>
      <c r="IN12" s="283"/>
      <c r="IO12" s="283"/>
      <c r="IP12" s="283"/>
      <c r="IQ12" s="283"/>
      <c r="IR12" s="283"/>
      <c r="IS12" s="283"/>
      <c r="IT12" s="283"/>
      <c r="IU12" s="283"/>
      <c r="IV12" s="283"/>
      <c r="IW12" s="283"/>
      <c r="IX12" s="283"/>
      <c r="IY12" s="283"/>
      <c r="IZ12" s="283"/>
      <c r="JA12" s="283"/>
      <c r="JB12" s="283"/>
      <c r="JC12" s="283"/>
      <c r="JD12" s="283"/>
      <c r="JE12" s="283"/>
      <c r="JF12" s="283"/>
      <c r="JG12" s="283"/>
      <c r="JH12" s="283"/>
      <c r="JI12" s="283"/>
      <c r="JJ12" s="283"/>
      <c r="JK12" s="283"/>
      <c r="JL12" s="283"/>
      <c r="JM12" s="283"/>
      <c r="JN12" s="283"/>
      <c r="JO12" s="283"/>
      <c r="JP12" s="283"/>
      <c r="JQ12" s="283"/>
      <c r="JR12" s="283"/>
      <c r="JS12" s="283"/>
      <c r="JT12" s="283"/>
      <c r="JU12" s="283"/>
      <c r="JV12" s="283"/>
      <c r="JW12" s="283"/>
      <c r="JX12" s="283"/>
      <c r="JY12" s="283"/>
      <c r="JZ12" s="283"/>
      <c r="KA12" s="283"/>
      <c r="KB12" s="283"/>
      <c r="KC12" s="283"/>
      <c r="KD12" s="283"/>
      <c r="KE12" s="283"/>
      <c r="KF12" s="283"/>
      <c r="KG12" s="283"/>
      <c r="KH12" s="283"/>
      <c r="KI12" s="283"/>
      <c r="KJ12" s="283"/>
      <c r="KK12" s="283"/>
      <c r="KL12" s="283"/>
      <c r="KM12" s="283"/>
      <c r="KN12" s="283"/>
      <c r="KO12" s="283"/>
      <c r="KP12" s="283"/>
      <c r="KQ12" s="283"/>
      <c r="KR12" s="283"/>
      <c r="KS12" s="283"/>
      <c r="KT12" s="283"/>
      <c r="KU12" s="283"/>
      <c r="KV12" s="283"/>
      <c r="KW12" s="283"/>
      <c r="KX12" s="283"/>
      <c r="KY12" s="283"/>
      <c r="KZ12" s="283"/>
      <c r="LA12" s="283"/>
      <c r="LB12" s="283"/>
      <c r="LC12" s="283"/>
      <c r="LD12" s="283"/>
      <c r="LE12" s="283"/>
      <c r="LF12" s="283"/>
      <c r="LG12" s="283"/>
      <c r="LH12" s="283"/>
      <c r="LI12" s="283"/>
      <c r="LJ12" s="283"/>
      <c r="LK12" s="283"/>
      <c r="LL12" s="283"/>
      <c r="LM12" s="283"/>
      <c r="LN12" s="283"/>
      <c r="LO12" s="283"/>
      <c r="LP12" s="283"/>
      <c r="LQ12" s="283"/>
      <c r="LR12" s="283"/>
      <c r="LS12" s="283"/>
      <c r="LT12" s="283"/>
      <c r="LU12" s="283"/>
      <c r="LV12" s="283"/>
      <c r="LW12" s="283"/>
      <c r="LX12" s="283"/>
      <c r="LY12" s="283"/>
      <c r="LZ12" s="283"/>
      <c r="MA12" s="283"/>
      <c r="MB12" s="283"/>
      <c r="MC12" s="283"/>
      <c r="MD12" s="283"/>
      <c r="ME12" s="283"/>
      <c r="MF12" s="283"/>
      <c r="MG12" s="283"/>
      <c r="MH12" s="283"/>
      <c r="MI12" s="283"/>
      <c r="MJ12" s="283"/>
      <c r="MK12" s="283"/>
      <c r="ML12" s="283"/>
      <c r="MM12" s="283"/>
      <c r="MN12" s="283"/>
      <c r="MO12" s="283"/>
      <c r="MP12" s="283"/>
      <c r="MQ12" s="283"/>
      <c r="MR12" s="283"/>
      <c r="MS12" s="283"/>
      <c r="MT12" s="283"/>
      <c r="MU12" s="283"/>
      <c r="MV12" s="283"/>
      <c r="MW12" s="283"/>
      <c r="MX12" s="283"/>
      <c r="MY12" s="283"/>
      <c r="MZ12" s="283"/>
      <c r="NA12" s="283"/>
      <c r="NB12" s="283"/>
      <c r="NC12" s="283"/>
      <c r="ND12" s="283"/>
      <c r="NE12" s="283"/>
      <c r="NF12" s="283"/>
      <c r="NG12" s="283"/>
      <c r="NH12" s="283"/>
      <c r="NI12" s="283"/>
      <c r="NJ12" s="283"/>
      <c r="NK12" s="283"/>
      <c r="NL12" s="283"/>
      <c r="NM12" s="283"/>
      <c r="NN12" s="283"/>
      <c r="NO12" s="283"/>
      <c r="NP12" s="283"/>
      <c r="NQ12" s="283"/>
      <c r="NR12" s="283"/>
      <c r="NS12" s="283"/>
      <c r="NT12" s="283"/>
      <c r="NU12" s="283"/>
      <c r="NV12" s="283"/>
      <c r="NW12" s="283"/>
      <c r="NX12" s="283"/>
      <c r="NY12" s="283"/>
      <c r="NZ12" s="283"/>
      <c r="OA12" s="283"/>
      <c r="OB12" s="283"/>
      <c r="OC12" s="283"/>
      <c r="OD12" s="283"/>
      <c r="OE12" s="283"/>
      <c r="OF12" s="283"/>
      <c r="OG12" s="283"/>
      <c r="OH12" s="283"/>
      <c r="OI12" s="283"/>
      <c r="OJ12" s="283"/>
      <c r="OK12" s="283"/>
      <c r="OL12" s="283"/>
      <c r="OM12" s="283"/>
      <c r="ON12" s="283"/>
      <c r="OO12" s="283"/>
      <c r="OP12" s="283"/>
      <c r="OQ12" s="283"/>
      <c r="OR12" s="283"/>
      <c r="OS12" s="283"/>
      <c r="OT12" s="283"/>
      <c r="OU12" s="283"/>
      <c r="OV12" s="283"/>
      <c r="OW12" s="283"/>
      <c r="OX12" s="283"/>
      <c r="OY12" s="283"/>
      <c r="OZ12" s="283"/>
      <c r="PA12" s="283"/>
      <c r="PB12" s="283"/>
      <c r="PC12" s="283"/>
      <c r="PD12" s="283"/>
      <c r="PE12" s="283"/>
      <c r="PF12" s="283"/>
      <c r="PG12" s="283"/>
      <c r="PH12" s="283"/>
      <c r="PI12" s="283"/>
      <c r="PJ12" s="283"/>
      <c r="PK12" s="283"/>
      <c r="PL12" s="283"/>
      <c r="PM12" s="283"/>
      <c r="PN12" s="283"/>
      <c r="PO12" s="283"/>
      <c r="PP12" s="283"/>
      <c r="PQ12" s="283"/>
      <c r="PR12" s="283"/>
      <c r="PS12" s="283"/>
      <c r="PT12" s="283"/>
      <c r="PU12" s="283"/>
      <c r="PV12" s="283"/>
      <c r="PW12" s="283"/>
      <c r="PX12" s="283"/>
      <c r="PY12" s="283"/>
      <c r="PZ12" s="283"/>
      <c r="QA12" s="283"/>
      <c r="QB12" s="283"/>
      <c r="QC12" s="283"/>
      <c r="QD12" s="283"/>
      <c r="QE12" s="283"/>
      <c r="QF12" s="283"/>
      <c r="QG12" s="283"/>
      <c r="QH12" s="283"/>
      <c r="QI12" s="283"/>
      <c r="QJ12" s="283"/>
      <c r="QK12" s="283"/>
      <c r="QL12" s="283"/>
      <c r="QM12" s="283"/>
      <c r="QN12" s="283"/>
      <c r="QO12" s="283"/>
      <c r="QP12" s="283"/>
      <c r="QQ12" s="283"/>
      <c r="QR12" s="283"/>
      <c r="QS12" s="283"/>
      <c r="QT12" s="283"/>
      <c r="QU12" s="283"/>
      <c r="QV12" s="283"/>
      <c r="QW12" s="283"/>
      <c r="QX12" s="283"/>
      <c r="QY12" s="283"/>
      <c r="QZ12" s="283"/>
      <c r="RA12" s="283"/>
      <c r="RB12" s="283"/>
      <c r="RC12" s="283"/>
      <c r="RD12" s="283"/>
      <c r="RE12" s="283"/>
      <c r="RF12" s="283"/>
      <c r="RG12" s="283"/>
      <c r="RH12" s="283"/>
      <c r="RI12" s="283"/>
      <c r="RJ12" s="283"/>
      <c r="RK12" s="283"/>
      <c r="RL12" s="283"/>
      <c r="RM12" s="283"/>
      <c r="RN12" s="283"/>
      <c r="RO12" s="283"/>
      <c r="RP12" s="283"/>
      <c r="RQ12" s="283"/>
      <c r="RR12" s="283"/>
      <c r="RS12" s="283"/>
      <c r="RT12" s="283"/>
      <c r="RU12" s="283"/>
      <c r="RV12" s="283"/>
      <c r="RW12" s="283"/>
      <c r="RX12" s="283"/>
      <c r="RY12" s="283"/>
      <c r="RZ12" s="283"/>
      <c r="SA12" s="283"/>
      <c r="SB12" s="283"/>
      <c r="SC12" s="283"/>
      <c r="SD12" s="283"/>
      <c r="SE12" s="283"/>
      <c r="SF12" s="283"/>
      <c r="SG12" s="283"/>
      <c r="SH12" s="283"/>
      <c r="SI12" s="283"/>
      <c r="SJ12" s="283"/>
      <c r="SK12" s="283"/>
      <c r="SL12" s="283"/>
      <c r="SM12" s="283"/>
      <c r="SN12" s="283"/>
      <c r="SO12" s="283"/>
      <c r="SP12" s="283"/>
      <c r="SQ12" s="283"/>
      <c r="SR12" s="283"/>
      <c r="SS12" s="283"/>
      <c r="ST12" s="283"/>
      <c r="SU12" s="283"/>
      <c r="SV12" s="283"/>
      <c r="SW12" s="283"/>
      <c r="SX12" s="283"/>
      <c r="SY12" s="283"/>
      <c r="SZ12" s="283"/>
      <c r="TA12" s="283"/>
      <c r="TB12" s="283"/>
      <c r="TC12" s="283"/>
      <c r="TD12" s="283"/>
      <c r="TE12" s="283"/>
      <c r="TF12" s="283"/>
      <c r="TG12" s="283"/>
      <c r="TH12" s="283"/>
      <c r="TI12" s="283"/>
      <c r="TJ12" s="283"/>
      <c r="TK12" s="283"/>
      <c r="TL12" s="283"/>
      <c r="TM12" s="283"/>
      <c r="TN12" s="283"/>
      <c r="TO12" s="283"/>
      <c r="TP12" s="283"/>
      <c r="TQ12" s="283"/>
      <c r="TR12" s="283"/>
      <c r="TS12" s="283"/>
      <c r="TT12" s="283"/>
      <c r="TU12" s="283"/>
      <c r="TV12" s="283"/>
      <c r="TW12" s="283"/>
      <c r="TX12" s="283"/>
      <c r="TY12" s="283"/>
      <c r="TZ12" s="283"/>
      <c r="UA12" s="283"/>
      <c r="UB12" s="283"/>
      <c r="UC12" s="283"/>
      <c r="UD12" s="283"/>
      <c r="UE12" s="283"/>
      <c r="UF12" s="283"/>
      <c r="UG12" s="283"/>
      <c r="UH12" s="283"/>
      <c r="UI12" s="283"/>
      <c r="UJ12" s="283"/>
      <c r="UK12" s="283"/>
      <c r="UL12" s="283"/>
      <c r="UM12" s="283"/>
      <c r="UN12" s="283"/>
      <c r="UO12" s="283"/>
      <c r="UP12" s="283"/>
      <c r="UQ12" s="283"/>
      <c r="UR12" s="283"/>
      <c r="US12" s="283"/>
      <c r="UT12" s="283"/>
      <c r="UU12" s="283"/>
      <c r="UV12" s="283"/>
      <c r="UW12" s="283"/>
      <c r="UX12" s="283"/>
      <c r="UY12" s="283"/>
      <c r="UZ12" s="283"/>
      <c r="VA12" s="283"/>
      <c r="VB12" s="283"/>
      <c r="VC12" s="283"/>
      <c r="VD12" s="283"/>
      <c r="VE12" s="283"/>
      <c r="VF12" s="283"/>
      <c r="VG12" s="283"/>
      <c r="VH12" s="283"/>
      <c r="VI12" s="283"/>
      <c r="VJ12" s="283"/>
      <c r="VK12" s="283"/>
      <c r="VL12" s="283"/>
      <c r="VM12" s="283"/>
      <c r="VN12" s="283"/>
      <c r="VO12" s="283"/>
      <c r="VP12" s="283"/>
      <c r="VQ12" s="283"/>
      <c r="VR12" s="283"/>
      <c r="VS12" s="283"/>
      <c r="VT12" s="283"/>
      <c r="VU12" s="283"/>
      <c r="VV12" s="283"/>
      <c r="VW12" s="283"/>
      <c r="VX12" s="283"/>
      <c r="VY12" s="283"/>
      <c r="VZ12" s="283"/>
      <c r="WA12" s="283"/>
      <c r="WB12" s="283"/>
      <c r="WC12" s="283"/>
      <c r="WD12" s="283"/>
      <c r="WE12" s="283"/>
      <c r="WF12" s="283"/>
      <c r="WG12" s="283"/>
      <c r="WH12" s="283"/>
      <c r="WI12" s="283"/>
      <c r="WJ12" s="283"/>
      <c r="WK12" s="283"/>
      <c r="WL12" s="283"/>
      <c r="WM12" s="283"/>
      <c r="WN12" s="283"/>
      <c r="WO12" s="283"/>
      <c r="WP12" s="283"/>
      <c r="WQ12" s="283"/>
      <c r="WR12" s="283"/>
      <c r="WS12" s="283"/>
      <c r="WT12" s="283"/>
      <c r="WU12" s="283"/>
      <c r="WV12" s="283"/>
      <c r="WW12" s="283"/>
      <c r="WX12" s="283"/>
      <c r="WY12" s="283"/>
      <c r="WZ12" s="283"/>
      <c r="XA12" s="283"/>
      <c r="XB12" s="283"/>
      <c r="XC12" s="283"/>
      <c r="XD12" s="283"/>
      <c r="XE12" s="283"/>
      <c r="XF12" s="283"/>
      <c r="XG12" s="283"/>
      <c r="XH12" s="283"/>
      <c r="XI12" s="283"/>
      <c r="XJ12" s="283"/>
      <c r="XK12" s="283"/>
      <c r="XL12" s="283"/>
      <c r="XM12" s="283"/>
      <c r="XN12" s="283"/>
      <c r="XO12" s="283"/>
      <c r="XP12" s="283"/>
      <c r="XQ12" s="283"/>
      <c r="XR12" s="283"/>
      <c r="XS12" s="283"/>
      <c r="XT12" s="283"/>
      <c r="XU12" s="283"/>
      <c r="XV12" s="283"/>
      <c r="XW12" s="283"/>
      <c r="XX12" s="283"/>
      <c r="XY12" s="283"/>
      <c r="XZ12" s="283"/>
      <c r="YA12" s="283"/>
      <c r="YB12" s="283"/>
      <c r="YC12" s="283"/>
      <c r="YD12" s="283"/>
      <c r="YE12" s="283"/>
      <c r="YF12" s="283"/>
      <c r="YG12" s="283"/>
      <c r="YH12" s="283"/>
      <c r="YI12" s="283"/>
      <c r="YJ12" s="283"/>
      <c r="YK12" s="283"/>
      <c r="YL12" s="283"/>
      <c r="YM12" s="283"/>
      <c r="YN12" s="283"/>
      <c r="YO12" s="283"/>
      <c r="YP12" s="283"/>
      <c r="YQ12" s="283"/>
      <c r="YR12" s="283"/>
      <c r="YS12" s="283"/>
      <c r="YT12" s="283"/>
      <c r="YU12" s="283"/>
      <c r="YV12" s="283"/>
      <c r="YW12" s="283"/>
      <c r="YX12" s="283"/>
      <c r="YY12" s="283"/>
      <c r="YZ12" s="283"/>
      <c r="ZA12" s="283"/>
      <c r="ZB12" s="283"/>
      <c r="ZC12" s="283"/>
      <c r="ZD12" s="283"/>
      <c r="ZE12" s="283"/>
      <c r="ZF12" s="283"/>
      <c r="ZG12" s="283"/>
      <c r="ZH12" s="283"/>
      <c r="ZI12" s="283"/>
      <c r="ZJ12" s="283"/>
      <c r="ZK12" s="283"/>
      <c r="ZL12" s="283"/>
      <c r="ZM12" s="283"/>
      <c r="ZN12" s="283"/>
      <c r="ZO12" s="283"/>
      <c r="ZP12" s="283"/>
      <c r="ZQ12" s="283"/>
      <c r="ZR12" s="283"/>
      <c r="ZS12" s="283"/>
      <c r="ZT12" s="283"/>
      <c r="ZU12" s="283"/>
      <c r="ZV12" s="283"/>
      <c r="ZW12" s="283"/>
      <c r="ZX12" s="283"/>
      <c r="ZY12" s="283"/>
      <c r="ZZ12" s="283"/>
      <c r="AAA12" s="283"/>
      <c r="AAB12" s="283"/>
      <c r="AAC12" s="283"/>
      <c r="AAD12" s="283"/>
      <c r="AAE12" s="283"/>
      <c r="AAF12" s="283"/>
      <c r="AAG12" s="283"/>
      <c r="AAH12" s="283"/>
      <c r="AAI12" s="283"/>
      <c r="AAJ12" s="283"/>
      <c r="AAK12" s="283"/>
      <c r="AAL12" s="283"/>
      <c r="AAM12" s="283"/>
      <c r="AAN12" s="283"/>
      <c r="AAO12" s="283"/>
      <c r="AAP12" s="283"/>
      <c r="AAQ12" s="283"/>
      <c r="AAR12" s="283"/>
      <c r="AAS12" s="283"/>
      <c r="AAT12" s="283"/>
      <c r="AAU12" s="283"/>
      <c r="AAV12" s="283"/>
      <c r="AAW12" s="283"/>
      <c r="AAX12" s="283"/>
      <c r="AAY12" s="283"/>
      <c r="AAZ12" s="283"/>
      <c r="ABA12" s="283"/>
      <c r="ABB12" s="283"/>
      <c r="ABC12" s="283"/>
      <c r="ABD12" s="283"/>
      <c r="ABE12" s="283"/>
      <c r="ABF12" s="283"/>
      <c r="ABG12" s="283"/>
      <c r="ABH12" s="283"/>
      <c r="ABI12" s="283"/>
      <c r="ABJ12" s="283"/>
      <c r="ABK12" s="283"/>
      <c r="ABL12" s="283"/>
      <c r="ABM12" s="283"/>
      <c r="ABN12" s="283"/>
      <c r="ABO12" s="283"/>
      <c r="ABP12" s="283"/>
      <c r="ABQ12" s="283"/>
      <c r="ABR12" s="283"/>
      <c r="ABS12" s="283"/>
      <c r="ABT12" s="283"/>
      <c r="ABU12" s="283"/>
      <c r="ABV12" s="283"/>
      <c r="ABW12" s="283"/>
      <c r="ABX12" s="283"/>
      <c r="ABY12" s="283"/>
      <c r="ABZ12" s="283"/>
      <c r="ACA12" s="283"/>
      <c r="ACB12" s="283"/>
      <c r="ACC12" s="283"/>
      <c r="ACD12" s="283"/>
      <c r="ACE12" s="283"/>
      <c r="ACF12" s="283"/>
      <c r="ACG12" s="283"/>
      <c r="ACH12" s="283"/>
      <c r="ACI12" s="283"/>
      <c r="ACJ12" s="283"/>
      <c r="ACK12" s="283"/>
      <c r="ACL12" s="283"/>
      <c r="ACM12" s="283"/>
      <c r="ACN12" s="283"/>
      <c r="ACO12" s="283"/>
      <c r="ACP12" s="283"/>
      <c r="ACQ12" s="283"/>
      <c r="ACR12" s="283"/>
      <c r="ACS12" s="283"/>
      <c r="ACT12" s="283"/>
      <c r="ACU12" s="283"/>
      <c r="ACV12" s="283"/>
      <c r="ACW12" s="283"/>
      <c r="ACX12" s="283"/>
      <c r="ACY12" s="283"/>
      <c r="ACZ12" s="283"/>
      <c r="ADA12" s="283"/>
      <c r="ADB12" s="283"/>
      <c r="ADC12" s="283"/>
      <c r="ADD12" s="283"/>
      <c r="ADE12" s="283"/>
      <c r="ADF12" s="283"/>
      <c r="ADG12" s="283"/>
      <c r="ADH12" s="283"/>
      <c r="ADI12" s="283"/>
      <c r="ADJ12" s="283"/>
      <c r="ADK12" s="283"/>
      <c r="ADL12" s="283"/>
      <c r="ADM12" s="283"/>
      <c r="ADN12" s="283"/>
      <c r="ADO12" s="283"/>
      <c r="ADP12" s="283"/>
      <c r="ADQ12" s="283"/>
      <c r="ADR12" s="283"/>
      <c r="ADS12" s="283"/>
      <c r="ADT12" s="283"/>
      <c r="ADU12" s="283"/>
      <c r="ADV12" s="283"/>
      <c r="ADW12" s="283"/>
      <c r="ADX12" s="283"/>
      <c r="ADY12" s="283"/>
      <c r="ADZ12" s="283"/>
      <c r="AEA12" s="283"/>
      <c r="AEB12" s="283"/>
      <c r="AEC12" s="283"/>
      <c r="AED12" s="283"/>
      <c r="AEE12" s="283"/>
      <c r="AEF12" s="283"/>
      <c r="AEG12" s="283"/>
      <c r="AEH12" s="283"/>
      <c r="AEI12" s="283"/>
      <c r="AEJ12" s="283"/>
      <c r="AEK12" s="283"/>
      <c r="AEL12" s="283"/>
      <c r="AEM12" s="283"/>
      <c r="AEN12" s="283"/>
      <c r="AEO12" s="283"/>
      <c r="AEP12" s="283"/>
      <c r="AEQ12" s="283"/>
      <c r="AER12" s="283"/>
      <c r="AES12" s="283"/>
      <c r="AET12" s="283"/>
      <c r="AEU12" s="283"/>
      <c r="AEV12" s="283"/>
      <c r="AEW12" s="283"/>
      <c r="AEX12" s="283"/>
      <c r="AEY12" s="283"/>
      <c r="AEZ12" s="283"/>
      <c r="AFA12" s="283"/>
      <c r="AFB12" s="283"/>
      <c r="AFC12" s="283"/>
      <c r="AFD12" s="283"/>
      <c r="AFE12" s="283"/>
      <c r="AFF12" s="283"/>
      <c r="AFG12" s="283"/>
      <c r="AFH12" s="283"/>
      <c r="AFI12" s="283"/>
      <c r="AFJ12" s="283"/>
      <c r="AFK12" s="283"/>
      <c r="AFL12" s="283"/>
      <c r="AFM12" s="283"/>
      <c r="AFN12" s="283"/>
      <c r="AFO12" s="283"/>
      <c r="AFP12" s="283"/>
      <c r="AFQ12" s="283"/>
      <c r="AFR12" s="283"/>
      <c r="AFS12" s="283"/>
      <c r="AFT12" s="283"/>
      <c r="AFU12" s="283"/>
      <c r="AFV12" s="283"/>
      <c r="AFW12" s="283"/>
      <c r="AFX12" s="283"/>
      <c r="AFY12" s="283"/>
      <c r="AFZ12" s="283"/>
      <c r="AGA12" s="283"/>
      <c r="AGB12" s="283"/>
      <c r="AGC12" s="283"/>
      <c r="AGD12" s="283"/>
      <c r="AGE12" s="283"/>
      <c r="AGF12" s="283"/>
      <c r="AGG12" s="283"/>
      <c r="AGH12" s="283"/>
      <c r="AGI12" s="283"/>
      <c r="AGJ12" s="283"/>
      <c r="AGK12" s="283"/>
      <c r="AGL12" s="283"/>
      <c r="AGM12" s="283"/>
      <c r="AGN12" s="283"/>
      <c r="AGO12" s="283"/>
      <c r="AGP12" s="283"/>
      <c r="AGQ12" s="283"/>
      <c r="AGR12" s="283"/>
      <c r="AGS12" s="283"/>
      <c r="AGT12" s="283"/>
      <c r="AGU12" s="283"/>
      <c r="AGV12" s="283"/>
      <c r="AGW12" s="283"/>
      <c r="AGX12" s="283"/>
      <c r="AGY12" s="283"/>
      <c r="AGZ12" s="283"/>
      <c r="AHA12" s="283"/>
      <c r="AHB12" s="283"/>
      <c r="AHC12" s="283"/>
      <c r="AHD12" s="283"/>
      <c r="AHE12" s="283"/>
      <c r="AHF12" s="283"/>
      <c r="AHG12" s="283"/>
      <c r="AHH12" s="283"/>
      <c r="AHI12" s="283"/>
      <c r="AHJ12" s="283"/>
      <c r="AHK12" s="283"/>
      <c r="AHL12" s="283"/>
      <c r="AHM12" s="283"/>
      <c r="AHN12" s="283"/>
      <c r="AHO12" s="283"/>
      <c r="AHP12" s="283"/>
      <c r="AHQ12" s="283"/>
      <c r="AHR12" s="283"/>
      <c r="AHS12" s="283"/>
      <c r="AHT12" s="283"/>
      <c r="AHU12" s="283"/>
      <c r="AHV12" s="283"/>
      <c r="AHW12" s="283"/>
      <c r="AHX12" s="283"/>
      <c r="AHY12" s="283"/>
      <c r="AHZ12" s="283"/>
      <c r="AIA12" s="283"/>
      <c r="AIB12" s="283"/>
      <c r="AIC12" s="283"/>
      <c r="AID12" s="283"/>
      <c r="AIE12" s="283"/>
      <c r="AIF12" s="283"/>
      <c r="AIG12" s="283"/>
      <c r="AIH12" s="283"/>
      <c r="AII12" s="283"/>
      <c r="AIJ12" s="283"/>
      <c r="AIK12" s="283"/>
      <c r="AIL12" s="283"/>
      <c r="AIM12" s="283"/>
      <c r="AIN12" s="283"/>
      <c r="AIO12" s="283"/>
      <c r="AIP12" s="283"/>
      <c r="AIQ12" s="283"/>
      <c r="AIR12" s="283"/>
      <c r="AIS12" s="283"/>
      <c r="AIT12" s="283"/>
      <c r="AIU12" s="283"/>
      <c r="AIV12" s="283"/>
      <c r="AIW12" s="283"/>
      <c r="AIX12" s="283"/>
      <c r="AIY12" s="283"/>
      <c r="AIZ12" s="283"/>
      <c r="AJA12" s="283"/>
      <c r="AJB12" s="283"/>
      <c r="AJC12" s="283"/>
      <c r="AJD12" s="283"/>
      <c r="AJE12" s="283"/>
      <c r="AJF12" s="283"/>
      <c r="AJG12" s="283"/>
      <c r="AJH12" s="283"/>
      <c r="AJI12" s="283"/>
      <c r="AJJ12" s="283"/>
      <c r="AJK12" s="283"/>
      <c r="AJL12" s="283"/>
      <c r="AJM12" s="283"/>
      <c r="AJN12" s="283"/>
      <c r="AJO12" s="283"/>
      <c r="AJP12" s="283"/>
      <c r="AJQ12" s="283"/>
      <c r="AJR12" s="283"/>
      <c r="AJS12" s="283"/>
      <c r="AJT12" s="283"/>
      <c r="AJU12" s="283"/>
      <c r="AJV12" s="283"/>
      <c r="AJW12" s="283"/>
      <c r="AJX12" s="283"/>
      <c r="AJY12" s="283"/>
      <c r="AJZ12" s="283"/>
      <c r="AKA12" s="283"/>
      <c r="AKB12" s="283"/>
      <c r="AKC12" s="283"/>
      <c r="AKD12" s="283"/>
      <c r="AKE12" s="283"/>
      <c r="AKF12" s="283"/>
      <c r="AKG12" s="283"/>
      <c r="AKH12" s="283"/>
      <c r="AKI12" s="283"/>
      <c r="AKJ12" s="283"/>
      <c r="AKK12" s="283"/>
      <c r="AKL12" s="283"/>
      <c r="AKM12" s="283"/>
      <c r="AKN12" s="283"/>
      <c r="AKO12" s="283"/>
      <c r="AKP12" s="283"/>
      <c r="AKQ12" s="283"/>
      <c r="AKR12" s="283"/>
      <c r="AKS12" s="283"/>
      <c r="AKT12" s="283"/>
      <c r="AKU12" s="283"/>
      <c r="AKV12" s="283"/>
      <c r="AKW12" s="283"/>
      <c r="AKX12" s="283"/>
      <c r="AKY12" s="283"/>
      <c r="AKZ12" s="283"/>
      <c r="ALA12" s="283"/>
      <c r="ALB12" s="283"/>
      <c r="ALC12" s="283"/>
      <c r="ALD12" s="283"/>
      <c r="ALE12" s="283"/>
      <c r="ALF12" s="283"/>
      <c r="ALG12" s="283"/>
      <c r="ALH12" s="283"/>
      <c r="ALI12" s="283"/>
      <c r="ALJ12" s="283"/>
      <c r="ALK12" s="283"/>
      <c r="ALL12" s="283"/>
      <c r="ALM12" s="283"/>
      <c r="ALN12" s="283"/>
      <c r="ALO12" s="283"/>
      <c r="ALP12" s="283"/>
      <c r="ALQ12" s="283"/>
      <c r="ALR12" s="283"/>
      <c r="ALS12" s="283"/>
      <c r="ALT12" s="283"/>
      <c r="ALU12" s="283"/>
      <c r="ALV12" s="283"/>
      <c r="ALW12" s="283"/>
      <c r="ALX12" s="283"/>
      <c r="ALY12" s="283"/>
      <c r="ALZ12" s="283"/>
      <c r="AMA12" s="283"/>
      <c r="AMB12" s="283"/>
      <c r="AMC12" s="283"/>
      <c r="AMD12" s="283"/>
      <c r="AME12" s="283"/>
      <c r="AMF12" s="283"/>
      <c r="AMG12" s="283"/>
      <c r="AMH12" s="283"/>
      <c r="AMI12" s="283"/>
      <c r="AMJ12" s="283"/>
      <c r="AMK12" s="283"/>
      <c r="AML12" s="283"/>
      <c r="AMM12" s="283"/>
      <c r="AMN12" s="283"/>
      <c r="AMO12" s="283"/>
      <c r="AMP12" s="283"/>
      <c r="AMQ12" s="283"/>
      <c r="AMR12" s="283"/>
      <c r="AMS12" s="283"/>
      <c r="AMT12" s="283"/>
      <c r="AMU12" s="283"/>
      <c r="AMV12" s="283"/>
      <c r="AMW12" s="283"/>
      <c r="AMX12" s="283"/>
      <c r="AMY12" s="283"/>
      <c r="AMZ12" s="283"/>
      <c r="ANA12" s="283"/>
      <c r="ANB12" s="283"/>
      <c r="ANC12" s="283"/>
      <c r="AND12" s="283"/>
      <c r="ANE12" s="283"/>
      <c r="ANF12" s="283"/>
      <c r="ANG12" s="283"/>
      <c r="ANH12" s="283"/>
      <c r="ANI12" s="283"/>
      <c r="ANJ12" s="283"/>
      <c r="ANK12" s="283"/>
      <c r="ANL12" s="283"/>
      <c r="ANM12" s="283"/>
      <c r="ANN12" s="283"/>
      <c r="ANO12" s="283"/>
      <c r="ANP12" s="283"/>
      <c r="ANQ12" s="283"/>
      <c r="ANR12" s="283"/>
      <c r="ANS12" s="283"/>
      <c r="ANT12" s="283"/>
      <c r="ANU12" s="283"/>
      <c r="ANV12" s="283"/>
      <c r="ANW12" s="283"/>
      <c r="ANX12" s="283"/>
      <c r="ANY12" s="283"/>
      <c r="ANZ12" s="283"/>
      <c r="AOA12" s="283"/>
      <c r="AOB12" s="283"/>
      <c r="AOC12" s="283"/>
      <c r="AOD12" s="283"/>
      <c r="AOE12" s="283"/>
      <c r="AOF12" s="283"/>
      <c r="AOG12" s="283"/>
      <c r="AOH12" s="283"/>
      <c r="AOI12" s="283"/>
      <c r="AOJ12" s="283"/>
      <c r="AOK12" s="283"/>
      <c r="AOL12" s="283"/>
      <c r="AOM12" s="283"/>
      <c r="AON12" s="283"/>
      <c r="AOO12" s="283"/>
      <c r="AOP12" s="283"/>
      <c r="AOQ12" s="283"/>
      <c r="AOR12" s="283"/>
      <c r="AOS12" s="283"/>
      <c r="AOT12" s="283"/>
      <c r="AOU12" s="283"/>
      <c r="AOV12" s="283"/>
      <c r="AOW12" s="283"/>
      <c r="AOX12" s="283"/>
      <c r="AOY12" s="283"/>
      <c r="AOZ12" s="283"/>
      <c r="APA12" s="283"/>
      <c r="APB12" s="283"/>
      <c r="APC12" s="283"/>
      <c r="APD12" s="283"/>
      <c r="APE12" s="283"/>
      <c r="APF12" s="283"/>
      <c r="APG12" s="283"/>
      <c r="APH12" s="283"/>
      <c r="API12" s="283"/>
      <c r="APJ12" s="283"/>
      <c r="APK12" s="283"/>
      <c r="APL12" s="283"/>
      <c r="APM12" s="283"/>
      <c r="APN12" s="283"/>
      <c r="APO12" s="283"/>
      <c r="APP12" s="283"/>
      <c r="APQ12" s="283"/>
      <c r="APR12" s="283"/>
      <c r="APS12" s="283"/>
      <c r="APT12" s="283"/>
      <c r="APU12" s="283"/>
      <c r="APV12" s="283"/>
      <c r="APW12" s="283"/>
      <c r="APX12" s="283"/>
      <c r="APY12" s="283"/>
      <c r="APZ12" s="283"/>
      <c r="AQA12" s="283"/>
      <c r="AQB12" s="283"/>
      <c r="AQC12" s="283"/>
      <c r="AQD12" s="283"/>
      <c r="AQE12" s="283"/>
      <c r="AQF12" s="283"/>
      <c r="AQG12" s="283"/>
      <c r="AQH12" s="283"/>
      <c r="AQI12" s="283"/>
      <c r="AQJ12" s="283"/>
      <c r="AQK12" s="283"/>
      <c r="AQL12" s="283"/>
      <c r="AQM12" s="283"/>
      <c r="AQN12" s="283"/>
      <c r="AQO12" s="283"/>
      <c r="AQP12" s="283"/>
      <c r="AQQ12" s="283"/>
      <c r="AQR12" s="283"/>
      <c r="AQS12" s="283"/>
      <c r="AQT12" s="283"/>
      <c r="AQU12" s="283"/>
      <c r="AQV12" s="283"/>
      <c r="AQW12" s="283"/>
      <c r="AQX12" s="283"/>
      <c r="AQY12" s="283"/>
      <c r="AQZ12" s="283"/>
      <c r="ARA12" s="283"/>
      <c r="ARB12" s="283"/>
      <c r="ARC12" s="283"/>
      <c r="ARD12" s="283"/>
      <c r="ARE12" s="283"/>
      <c r="ARF12" s="283"/>
      <c r="ARG12" s="283"/>
      <c r="ARH12" s="283"/>
      <c r="ARI12" s="283"/>
      <c r="ARJ12" s="283"/>
      <c r="ARK12" s="283"/>
      <c r="ARL12" s="283"/>
      <c r="ARM12" s="283"/>
      <c r="ARN12" s="283"/>
      <c r="ARO12" s="283"/>
      <c r="ARP12" s="283"/>
      <c r="ARQ12" s="283"/>
      <c r="ARR12" s="283"/>
      <c r="ARS12" s="283"/>
      <c r="ART12" s="283"/>
      <c r="ARU12" s="283"/>
      <c r="ARV12" s="283"/>
      <c r="ARW12" s="283"/>
      <c r="ARX12" s="283"/>
      <c r="ARY12" s="283"/>
      <c r="ARZ12" s="283"/>
      <c r="ASA12" s="283"/>
      <c r="ASB12" s="283"/>
      <c r="ASC12" s="283"/>
      <c r="ASD12" s="283"/>
      <c r="ASE12" s="283"/>
      <c r="ASF12" s="283"/>
      <c r="ASG12" s="283"/>
      <c r="ASH12" s="283"/>
      <c r="ASI12" s="283"/>
      <c r="ASJ12" s="283"/>
      <c r="ASK12" s="283"/>
      <c r="ASL12" s="283"/>
      <c r="ASM12" s="283"/>
      <c r="ASN12" s="283"/>
      <c r="ASO12" s="283"/>
      <c r="ASP12" s="283"/>
      <c r="ASQ12" s="283"/>
      <c r="ASR12" s="283"/>
      <c r="ASS12" s="283"/>
      <c r="AST12" s="283"/>
      <c r="ASU12" s="283"/>
      <c r="ASV12" s="283"/>
      <c r="ASW12" s="283"/>
      <c r="ASX12" s="283"/>
      <c r="ASY12" s="283"/>
      <c r="ASZ12" s="283"/>
      <c r="ATA12" s="283"/>
      <c r="ATB12" s="283"/>
      <c r="ATC12" s="283"/>
      <c r="ATD12" s="283"/>
      <c r="ATE12" s="283"/>
      <c r="ATF12" s="283"/>
      <c r="ATG12" s="283"/>
      <c r="ATH12" s="283"/>
      <c r="ATI12" s="283"/>
      <c r="ATJ12" s="283"/>
      <c r="ATK12" s="283"/>
      <c r="ATL12" s="283"/>
      <c r="ATM12" s="283"/>
      <c r="ATN12" s="283"/>
      <c r="ATO12" s="283"/>
      <c r="ATP12" s="283"/>
      <c r="ATQ12" s="283"/>
      <c r="ATR12" s="283"/>
      <c r="ATS12" s="283"/>
      <c r="ATT12" s="283"/>
      <c r="ATU12" s="283"/>
      <c r="ATV12" s="283"/>
      <c r="ATW12" s="283"/>
      <c r="ATX12" s="283"/>
      <c r="ATY12" s="283"/>
      <c r="ATZ12" s="283"/>
      <c r="AUA12" s="283"/>
      <c r="AUB12" s="283"/>
      <c r="AUC12" s="283"/>
      <c r="AUD12" s="283"/>
      <c r="AUE12" s="283"/>
      <c r="AUF12" s="283"/>
      <c r="AUG12" s="283"/>
      <c r="AUH12" s="283"/>
      <c r="AUI12" s="283"/>
      <c r="AUJ12" s="283"/>
      <c r="AUK12" s="283"/>
      <c r="AUL12" s="283"/>
      <c r="AUM12" s="283"/>
      <c r="AUN12" s="283"/>
      <c r="AUO12" s="283"/>
      <c r="AUP12" s="283"/>
      <c r="AUQ12" s="283"/>
      <c r="AUR12" s="283"/>
      <c r="AUS12" s="283"/>
      <c r="AUT12" s="283"/>
      <c r="AUU12" s="283"/>
      <c r="AUV12" s="283"/>
      <c r="AUW12" s="283"/>
      <c r="AUX12" s="283"/>
      <c r="AUY12" s="283"/>
      <c r="AUZ12" s="283"/>
      <c r="AVA12" s="283"/>
      <c r="AVB12" s="283"/>
      <c r="AVC12" s="283"/>
      <c r="AVD12" s="283"/>
      <c r="AVE12" s="283"/>
      <c r="AVF12" s="283"/>
      <c r="AVG12" s="283"/>
      <c r="AVH12" s="283"/>
      <c r="AVI12" s="283"/>
      <c r="AVJ12" s="283"/>
      <c r="AVK12" s="283"/>
      <c r="AVL12" s="283"/>
      <c r="AVM12" s="283"/>
      <c r="AVN12" s="283"/>
      <c r="AVO12" s="283"/>
      <c r="AVP12" s="283"/>
      <c r="AVQ12" s="283"/>
      <c r="AVR12" s="283"/>
      <c r="AVS12" s="283"/>
      <c r="AVT12" s="283"/>
      <c r="AVU12" s="283"/>
      <c r="AVV12" s="283"/>
      <c r="AVW12" s="283"/>
      <c r="AVX12" s="283"/>
      <c r="AVY12" s="283"/>
      <c r="AVZ12" s="283"/>
      <c r="AWA12" s="283"/>
      <c r="AWB12" s="283"/>
      <c r="AWC12" s="283"/>
      <c r="AWD12" s="283"/>
      <c r="AWE12" s="283"/>
      <c r="AWF12" s="283"/>
      <c r="AWG12" s="283"/>
      <c r="AWH12" s="283"/>
      <c r="AWI12" s="283"/>
      <c r="AWJ12" s="283"/>
      <c r="AWK12" s="283"/>
      <c r="AWL12" s="283"/>
      <c r="AWM12" s="283"/>
      <c r="AWN12" s="283"/>
      <c r="AWO12" s="283"/>
      <c r="AWP12" s="283"/>
      <c r="AWQ12" s="283"/>
      <c r="AWR12" s="283"/>
      <c r="AWS12" s="283"/>
      <c r="AWT12" s="283"/>
      <c r="AWU12" s="283"/>
      <c r="AWV12" s="283"/>
      <c r="AWW12" s="283"/>
      <c r="AWX12" s="283"/>
      <c r="AWY12" s="283"/>
      <c r="AWZ12" s="283"/>
      <c r="AXA12" s="283"/>
      <c r="AXB12" s="283"/>
      <c r="AXC12" s="283"/>
      <c r="AXD12" s="283"/>
      <c r="AXE12" s="283"/>
      <c r="AXF12" s="283"/>
      <c r="AXG12" s="283"/>
      <c r="AXH12" s="283"/>
      <c r="AXI12" s="283"/>
      <c r="AXJ12" s="283"/>
      <c r="AXK12" s="283"/>
      <c r="AXL12" s="283"/>
      <c r="AXM12" s="283"/>
      <c r="AXN12" s="283"/>
      <c r="AXO12" s="283"/>
      <c r="AXP12" s="283"/>
      <c r="AXQ12" s="283"/>
      <c r="AXR12" s="283"/>
      <c r="AXS12" s="283"/>
      <c r="AXT12" s="283"/>
      <c r="AXU12" s="283"/>
      <c r="AXV12" s="283"/>
      <c r="AXW12" s="283"/>
      <c r="AXX12" s="283"/>
      <c r="AXY12" s="283"/>
      <c r="AXZ12" s="283"/>
      <c r="AYA12" s="283"/>
      <c r="AYB12" s="283"/>
      <c r="AYC12" s="283"/>
      <c r="AYD12" s="283"/>
      <c r="AYE12" s="283"/>
      <c r="AYF12" s="283"/>
      <c r="AYG12" s="283"/>
      <c r="AYH12" s="283"/>
      <c r="AYI12" s="283"/>
      <c r="AYJ12" s="283"/>
      <c r="AYK12" s="283"/>
      <c r="AYL12" s="283"/>
      <c r="AYM12" s="283"/>
      <c r="AYN12" s="283"/>
      <c r="AYO12" s="283"/>
      <c r="AYP12" s="283"/>
      <c r="AYQ12" s="283"/>
      <c r="AYR12" s="283"/>
      <c r="AYS12" s="283"/>
      <c r="AYT12" s="283"/>
      <c r="AYU12" s="283"/>
      <c r="AYV12" s="283"/>
      <c r="AYW12" s="283"/>
      <c r="AYX12" s="283"/>
      <c r="AYY12" s="283"/>
      <c r="AYZ12" s="283"/>
      <c r="AZA12" s="283"/>
      <c r="AZB12" s="283"/>
      <c r="AZC12" s="283"/>
      <c r="AZD12" s="283"/>
      <c r="AZE12" s="283"/>
      <c r="AZF12" s="283"/>
      <c r="AZG12" s="283"/>
      <c r="AZH12" s="283"/>
      <c r="AZI12" s="283"/>
      <c r="AZJ12" s="283"/>
      <c r="AZK12" s="283"/>
      <c r="AZL12" s="283"/>
      <c r="AZM12" s="283"/>
      <c r="AZN12" s="283"/>
      <c r="AZO12" s="283"/>
      <c r="AZP12" s="283"/>
      <c r="AZQ12" s="283"/>
      <c r="AZR12" s="283"/>
      <c r="AZS12" s="283"/>
      <c r="AZT12" s="283"/>
      <c r="AZU12" s="283"/>
      <c r="AZV12" s="283"/>
      <c r="AZW12" s="283"/>
      <c r="AZX12" s="283"/>
      <c r="AZY12" s="283"/>
      <c r="AZZ12" s="283"/>
      <c r="BAA12" s="283"/>
      <c r="BAB12" s="283"/>
      <c r="BAC12" s="283"/>
      <c r="BAD12" s="283"/>
      <c r="BAE12" s="283"/>
      <c r="BAF12" s="283"/>
      <c r="BAG12" s="283"/>
      <c r="BAH12" s="283"/>
      <c r="BAI12" s="283"/>
      <c r="BAJ12" s="283"/>
      <c r="BAK12" s="283"/>
      <c r="BAL12" s="283"/>
      <c r="BAM12" s="283"/>
      <c r="BAN12" s="283"/>
      <c r="BAO12" s="283"/>
      <c r="BAP12" s="283"/>
      <c r="BAQ12" s="283"/>
      <c r="BAR12" s="283"/>
      <c r="BAS12" s="283"/>
      <c r="BAT12" s="283"/>
      <c r="BAU12" s="283"/>
      <c r="BAV12" s="283"/>
      <c r="BAW12" s="283"/>
      <c r="BAX12" s="283"/>
      <c r="BAY12" s="283"/>
      <c r="BAZ12" s="283"/>
      <c r="BBA12" s="283"/>
      <c r="BBB12" s="283"/>
      <c r="BBC12" s="283"/>
      <c r="BBD12" s="283"/>
      <c r="BBE12" s="283"/>
      <c r="BBF12" s="283"/>
      <c r="BBG12" s="283"/>
      <c r="BBH12" s="283"/>
      <c r="BBI12" s="283"/>
      <c r="BBJ12" s="283"/>
      <c r="BBK12" s="283"/>
      <c r="BBL12" s="283"/>
      <c r="BBM12" s="283"/>
      <c r="BBN12" s="283"/>
      <c r="BBO12" s="283"/>
      <c r="BBP12" s="283"/>
      <c r="BBQ12" s="283"/>
      <c r="BBR12" s="283"/>
      <c r="BBS12" s="283"/>
      <c r="BBT12" s="283"/>
      <c r="BBU12" s="283"/>
      <c r="BBV12" s="283"/>
      <c r="BBW12" s="283"/>
      <c r="BBX12" s="283"/>
      <c r="BBY12" s="283"/>
      <c r="BBZ12" s="283"/>
      <c r="BCA12" s="283"/>
      <c r="BCB12" s="283"/>
      <c r="BCC12" s="283"/>
      <c r="BCD12" s="283"/>
      <c r="BCE12" s="283"/>
      <c r="BCF12" s="283"/>
      <c r="BCG12" s="283"/>
      <c r="BCH12" s="283"/>
      <c r="BCI12" s="283"/>
      <c r="BCJ12" s="283"/>
      <c r="BCK12" s="283"/>
      <c r="BCL12" s="283"/>
      <c r="BCM12" s="283"/>
      <c r="BCN12" s="283"/>
      <c r="BCO12" s="283"/>
      <c r="BCP12" s="283"/>
      <c r="BCQ12" s="283"/>
      <c r="BCR12" s="283"/>
      <c r="BCS12" s="283"/>
      <c r="BCT12" s="283"/>
      <c r="BCU12" s="283"/>
      <c r="BCV12" s="283"/>
      <c r="BCW12" s="283"/>
      <c r="BCX12" s="283"/>
      <c r="BCY12" s="283"/>
      <c r="BCZ12" s="283"/>
      <c r="BDA12" s="283"/>
      <c r="BDB12" s="283"/>
      <c r="BDC12" s="283"/>
      <c r="BDD12" s="283"/>
      <c r="BDE12" s="283"/>
      <c r="BDF12" s="283"/>
      <c r="BDG12" s="283"/>
      <c r="BDH12" s="283"/>
      <c r="BDI12" s="283"/>
      <c r="BDJ12" s="283"/>
      <c r="BDK12" s="283"/>
      <c r="BDL12" s="283"/>
      <c r="BDM12" s="283"/>
      <c r="BDN12" s="283"/>
      <c r="BDO12" s="283"/>
      <c r="BDP12" s="283"/>
      <c r="BDQ12" s="283"/>
      <c r="BDR12" s="283"/>
      <c r="BDS12" s="283"/>
      <c r="BDT12" s="283"/>
      <c r="BDU12" s="283"/>
      <c r="BDV12" s="283"/>
      <c r="BDW12" s="283"/>
      <c r="BDX12" s="283"/>
      <c r="BDY12" s="283"/>
      <c r="BDZ12" s="283"/>
      <c r="BEA12" s="283"/>
      <c r="BEB12" s="283"/>
      <c r="BEC12" s="283"/>
      <c r="BED12" s="283"/>
      <c r="BEE12" s="283"/>
      <c r="BEF12" s="283"/>
      <c r="BEG12" s="283"/>
      <c r="BEH12" s="283"/>
      <c r="BEI12" s="283"/>
      <c r="BEJ12" s="283"/>
      <c r="BEK12" s="283"/>
      <c r="BEL12" s="283"/>
      <c r="BEM12" s="283"/>
      <c r="BEN12" s="283"/>
      <c r="BEO12" s="283"/>
      <c r="BEP12" s="283"/>
      <c r="BEQ12" s="283"/>
      <c r="BER12" s="283"/>
      <c r="BES12" s="283"/>
      <c r="BET12" s="283"/>
      <c r="BEU12" s="283"/>
      <c r="BEV12" s="283"/>
      <c r="BEW12" s="283"/>
      <c r="BEX12" s="283"/>
      <c r="BEY12" s="283"/>
      <c r="BEZ12" s="283"/>
      <c r="BFA12" s="283"/>
      <c r="BFB12" s="283"/>
      <c r="BFC12" s="283"/>
      <c r="BFD12" s="283"/>
      <c r="BFE12" s="283"/>
      <c r="BFF12" s="283"/>
      <c r="BFG12" s="283"/>
      <c r="BFH12" s="283"/>
      <c r="BFI12" s="283"/>
      <c r="BFJ12" s="283"/>
      <c r="BFK12" s="283"/>
      <c r="BFL12" s="283"/>
      <c r="BFM12" s="283"/>
      <c r="BFN12" s="283"/>
      <c r="BFO12" s="283"/>
      <c r="BFP12" s="283"/>
      <c r="BFQ12" s="283"/>
      <c r="BFR12" s="283"/>
      <c r="BFS12" s="283"/>
      <c r="BFT12" s="283"/>
      <c r="BFU12" s="283"/>
      <c r="BFV12" s="283"/>
      <c r="BFW12" s="283"/>
      <c r="BFX12" s="283"/>
      <c r="BFY12" s="283"/>
      <c r="BFZ12" s="283"/>
      <c r="BGA12" s="283"/>
      <c r="BGB12" s="283"/>
      <c r="BGC12" s="283"/>
      <c r="BGD12" s="283"/>
      <c r="BGE12" s="283"/>
      <c r="BGF12" s="283"/>
      <c r="BGG12" s="283"/>
      <c r="BGH12" s="283"/>
      <c r="BGI12" s="283"/>
      <c r="BGJ12" s="283"/>
      <c r="BGK12" s="283"/>
      <c r="BGL12" s="283"/>
      <c r="BGM12" s="283"/>
      <c r="BGN12" s="283"/>
      <c r="BGO12" s="283"/>
      <c r="BGP12" s="283"/>
      <c r="BGQ12" s="283"/>
      <c r="BGR12" s="283"/>
      <c r="BGS12" s="283"/>
      <c r="BGT12" s="283"/>
      <c r="BGU12" s="283"/>
      <c r="BGV12" s="283"/>
      <c r="BGW12" s="283"/>
      <c r="BGX12" s="283"/>
      <c r="BGY12" s="283"/>
      <c r="BGZ12" s="283"/>
      <c r="BHA12" s="283"/>
      <c r="BHB12" s="283"/>
      <c r="BHC12" s="283"/>
      <c r="BHD12" s="283"/>
      <c r="BHE12" s="283"/>
      <c r="BHF12" s="283"/>
      <c r="BHG12" s="283"/>
      <c r="BHH12" s="283"/>
      <c r="BHI12" s="283"/>
      <c r="BHJ12" s="283"/>
      <c r="BHK12" s="283"/>
      <c r="BHL12" s="283"/>
      <c r="BHM12" s="283"/>
      <c r="BHN12" s="283"/>
      <c r="BHO12" s="283"/>
      <c r="BHP12" s="283"/>
      <c r="BHQ12" s="283"/>
      <c r="BHR12" s="283"/>
      <c r="BHS12" s="283"/>
      <c r="BHT12" s="283"/>
      <c r="BHU12" s="283"/>
      <c r="BHV12" s="283"/>
      <c r="BHW12" s="283"/>
      <c r="BHX12" s="283"/>
      <c r="BHY12" s="283"/>
      <c r="BHZ12" s="283"/>
      <c r="BIA12" s="283"/>
      <c r="BIB12" s="283"/>
      <c r="BIC12" s="283"/>
      <c r="BID12" s="283"/>
      <c r="BIE12" s="283"/>
      <c r="BIF12" s="283"/>
      <c r="BIG12" s="283"/>
      <c r="BIH12" s="283"/>
      <c r="BII12" s="283"/>
      <c r="BIJ12" s="283"/>
      <c r="BIK12" s="283"/>
      <c r="BIL12" s="283"/>
      <c r="BIM12" s="283"/>
      <c r="BIN12" s="283"/>
      <c r="BIO12" s="283"/>
      <c r="BIP12" s="283"/>
      <c r="BIQ12" s="283"/>
      <c r="BIR12" s="283"/>
      <c r="BIS12" s="283"/>
      <c r="BIT12" s="283"/>
      <c r="BIU12" s="283"/>
      <c r="BIV12" s="283"/>
      <c r="BIW12" s="283"/>
      <c r="BIX12" s="283"/>
      <c r="BIY12" s="283"/>
      <c r="BIZ12" s="283"/>
      <c r="BJA12" s="283"/>
      <c r="BJB12" s="283"/>
      <c r="BJC12" s="283"/>
      <c r="BJD12" s="283"/>
      <c r="BJE12" s="283"/>
      <c r="BJF12" s="283"/>
      <c r="BJG12" s="283"/>
      <c r="BJH12" s="283"/>
      <c r="BJI12" s="283"/>
      <c r="BJJ12" s="283"/>
      <c r="BJK12" s="283"/>
      <c r="BJL12" s="283"/>
      <c r="BJM12" s="283"/>
      <c r="BJN12" s="283"/>
      <c r="BJO12" s="283"/>
      <c r="BJP12" s="283"/>
      <c r="BJQ12" s="283"/>
      <c r="BJR12" s="283"/>
      <c r="BJS12" s="283"/>
      <c r="BJT12" s="283"/>
      <c r="BJU12" s="283"/>
      <c r="BJV12" s="283"/>
      <c r="BJW12" s="283"/>
      <c r="BJX12" s="283"/>
      <c r="BJY12" s="283"/>
      <c r="BJZ12" s="283"/>
      <c r="BKA12" s="283"/>
      <c r="BKB12" s="283"/>
      <c r="BKC12" s="283"/>
      <c r="BKD12" s="283"/>
      <c r="BKE12" s="283"/>
      <c r="BKF12" s="283"/>
      <c r="BKG12" s="283"/>
      <c r="BKH12" s="283"/>
      <c r="BKI12" s="283"/>
      <c r="BKJ12" s="283"/>
      <c r="BKK12" s="283"/>
      <c r="BKL12" s="283"/>
      <c r="BKM12" s="283"/>
      <c r="BKN12" s="283"/>
      <c r="BKO12" s="283"/>
      <c r="BKP12" s="283"/>
      <c r="BKQ12" s="283"/>
      <c r="BKR12" s="283"/>
      <c r="BKS12" s="283"/>
      <c r="BKT12" s="283"/>
      <c r="BKU12" s="283"/>
      <c r="BKV12" s="283"/>
      <c r="BKW12" s="283"/>
      <c r="BKX12" s="283"/>
      <c r="BKY12" s="283"/>
      <c r="BKZ12" s="283"/>
      <c r="BLA12" s="283"/>
      <c r="BLB12" s="283"/>
      <c r="BLC12" s="283"/>
      <c r="BLD12" s="283"/>
      <c r="BLE12" s="283"/>
      <c r="BLF12" s="283"/>
      <c r="BLG12" s="283"/>
      <c r="BLH12" s="283"/>
      <c r="BLI12" s="283"/>
      <c r="BLJ12" s="283"/>
      <c r="BLK12" s="283"/>
      <c r="BLL12" s="283"/>
      <c r="BLM12" s="283"/>
      <c r="BLN12" s="283"/>
      <c r="BLO12" s="283"/>
      <c r="BLP12" s="283"/>
      <c r="BLQ12" s="283"/>
      <c r="BLR12" s="283"/>
      <c r="BLS12" s="283"/>
      <c r="BLT12" s="283"/>
      <c r="BLU12" s="283"/>
      <c r="BLV12" s="283"/>
      <c r="BLW12" s="283"/>
      <c r="BLX12" s="283"/>
      <c r="BLY12" s="283"/>
      <c r="BLZ12" s="283"/>
      <c r="BMA12" s="283"/>
      <c r="BMB12" s="283"/>
      <c r="BMC12" s="283"/>
      <c r="BMD12" s="283"/>
      <c r="BME12" s="283"/>
      <c r="BMF12" s="283"/>
      <c r="BMG12" s="283"/>
      <c r="BMH12" s="283"/>
      <c r="BMI12" s="283"/>
      <c r="BMJ12" s="283"/>
      <c r="BMK12" s="283"/>
      <c r="BML12" s="283"/>
      <c r="BMM12" s="283"/>
      <c r="BMN12" s="283"/>
      <c r="BMO12" s="283"/>
      <c r="BMP12" s="283"/>
      <c r="BMQ12" s="283"/>
      <c r="BMR12" s="283"/>
      <c r="BMS12" s="283"/>
      <c r="BMT12" s="283"/>
      <c r="BMU12" s="283"/>
      <c r="BMV12" s="283"/>
      <c r="BMW12" s="283"/>
      <c r="BMX12" s="283"/>
      <c r="BMY12" s="283"/>
      <c r="BMZ12" s="283"/>
      <c r="BNA12" s="283"/>
      <c r="BNB12" s="283"/>
      <c r="BNC12" s="283"/>
      <c r="BND12" s="283"/>
      <c r="BNE12" s="283"/>
      <c r="BNF12" s="283"/>
      <c r="BNG12" s="283"/>
      <c r="BNH12" s="283"/>
      <c r="BNI12" s="283"/>
      <c r="BNJ12" s="283"/>
      <c r="BNK12" s="283"/>
      <c r="BNL12" s="283"/>
      <c r="BNM12" s="283"/>
      <c r="BNN12" s="283"/>
      <c r="BNO12" s="283"/>
      <c r="BNP12" s="283"/>
      <c r="BNQ12" s="283"/>
      <c r="BNR12" s="283"/>
      <c r="BNS12" s="283"/>
      <c r="BNT12" s="283"/>
      <c r="BNU12" s="283"/>
      <c r="BNV12" s="283"/>
      <c r="BNW12" s="283"/>
      <c r="BNX12" s="283"/>
      <c r="BNY12" s="283"/>
      <c r="BNZ12" s="283"/>
      <c r="BOA12" s="283"/>
      <c r="BOB12" s="283"/>
      <c r="BOC12" s="283"/>
      <c r="BOD12" s="283"/>
      <c r="BOE12" s="283"/>
      <c r="BOF12" s="283"/>
      <c r="BOG12" s="283"/>
      <c r="BOH12" s="283"/>
      <c r="BOI12" s="283"/>
      <c r="BOJ12" s="283"/>
      <c r="BOK12" s="283"/>
      <c r="BOL12" s="283"/>
      <c r="BOM12" s="283"/>
      <c r="BON12" s="283"/>
      <c r="BOO12" s="283"/>
      <c r="BOP12" s="283"/>
      <c r="BOQ12" s="283"/>
      <c r="BOR12" s="283"/>
      <c r="BOS12" s="283"/>
      <c r="BOT12" s="283"/>
      <c r="BOU12" s="283"/>
      <c r="BOV12" s="283"/>
      <c r="BOW12" s="283"/>
      <c r="BOX12" s="283"/>
      <c r="BOY12" s="283"/>
      <c r="BOZ12" s="283"/>
      <c r="BPA12" s="283"/>
      <c r="BPB12" s="283"/>
      <c r="BPC12" s="283"/>
      <c r="BPD12" s="283"/>
      <c r="BPE12" s="283"/>
      <c r="BPF12" s="283"/>
      <c r="BPG12" s="283"/>
      <c r="BPH12" s="283"/>
      <c r="BPI12" s="283"/>
      <c r="BPJ12" s="283"/>
      <c r="BPK12" s="283"/>
      <c r="BPL12" s="283"/>
      <c r="BPM12" s="283"/>
      <c r="BPN12" s="283"/>
      <c r="BPO12" s="283"/>
      <c r="BPP12" s="283"/>
      <c r="BPQ12" s="283"/>
      <c r="BPR12" s="283"/>
      <c r="BPS12" s="283"/>
      <c r="BPT12" s="283"/>
      <c r="BPU12" s="283"/>
      <c r="BPV12" s="283"/>
      <c r="BPW12" s="283"/>
      <c r="BPX12" s="283"/>
      <c r="BPY12" s="283"/>
      <c r="BPZ12" s="283"/>
      <c r="BQA12" s="283"/>
      <c r="BQB12" s="283"/>
      <c r="BQC12" s="283"/>
      <c r="BQD12" s="283"/>
      <c r="BQE12" s="283"/>
      <c r="BQF12" s="283"/>
      <c r="BQG12" s="283"/>
      <c r="BQH12" s="283"/>
      <c r="BQI12" s="283"/>
      <c r="BQJ12" s="283"/>
      <c r="BQK12" s="283"/>
      <c r="BQL12" s="283"/>
      <c r="BQM12" s="283"/>
      <c r="BQN12" s="283"/>
      <c r="BQO12" s="283"/>
      <c r="BQP12" s="283"/>
      <c r="BQQ12" s="283"/>
      <c r="BQR12" s="283"/>
      <c r="BQS12" s="283"/>
      <c r="BQT12" s="283"/>
      <c r="BQU12" s="283"/>
      <c r="BQV12" s="283"/>
      <c r="BQW12" s="283"/>
      <c r="BQX12" s="283"/>
      <c r="BQY12" s="283"/>
      <c r="BQZ12" s="283"/>
      <c r="BRA12" s="283"/>
      <c r="BRB12" s="283"/>
      <c r="BRC12" s="283"/>
      <c r="BRD12" s="283"/>
      <c r="BRE12" s="283"/>
      <c r="BRF12" s="283"/>
      <c r="BRG12" s="283"/>
      <c r="BRH12" s="283"/>
      <c r="BRI12" s="283"/>
      <c r="BRJ12" s="283"/>
      <c r="BRK12" s="283"/>
      <c r="BRL12" s="283"/>
      <c r="BRM12" s="283"/>
      <c r="BRN12" s="283"/>
      <c r="BRO12" s="283"/>
      <c r="BRP12" s="283"/>
      <c r="BRQ12" s="283"/>
      <c r="BRR12" s="283"/>
      <c r="BRS12" s="283"/>
      <c r="BRT12" s="283"/>
      <c r="BRU12" s="283"/>
      <c r="BRV12" s="283"/>
      <c r="BRW12" s="283"/>
      <c r="BRX12" s="283"/>
      <c r="BRY12" s="283"/>
      <c r="BRZ12" s="283"/>
      <c r="BSA12" s="283"/>
      <c r="BSB12" s="283"/>
      <c r="BSC12" s="283"/>
      <c r="BSD12" s="283"/>
      <c r="BSE12" s="283"/>
      <c r="BSF12" s="283"/>
      <c r="BSG12" s="283"/>
      <c r="BSH12" s="283"/>
      <c r="BSI12" s="283"/>
      <c r="BSJ12" s="283"/>
      <c r="BSK12" s="283"/>
      <c r="BSL12" s="283"/>
      <c r="BSM12" s="283"/>
      <c r="BSN12" s="283"/>
      <c r="BSO12" s="283"/>
      <c r="BSP12" s="283"/>
      <c r="BSQ12" s="283"/>
      <c r="BSR12" s="283"/>
      <c r="BSS12" s="283"/>
      <c r="BST12" s="283"/>
      <c r="BSU12" s="283"/>
      <c r="BSV12" s="283"/>
      <c r="BSW12" s="283"/>
      <c r="BSX12" s="283"/>
      <c r="BSY12" s="283"/>
      <c r="BSZ12" s="283"/>
      <c r="BTA12" s="283"/>
      <c r="BTB12" s="283"/>
      <c r="BTC12" s="283"/>
      <c r="BTD12" s="283"/>
      <c r="BTE12" s="283"/>
      <c r="BTF12" s="283"/>
      <c r="BTG12" s="283"/>
      <c r="BTH12" s="283"/>
      <c r="BTI12" s="283"/>
      <c r="BTJ12" s="283"/>
      <c r="BTK12" s="283"/>
      <c r="BTL12" s="283"/>
      <c r="BTM12" s="283"/>
      <c r="BTN12" s="283"/>
      <c r="BTO12" s="283"/>
      <c r="BTP12" s="283"/>
      <c r="BTQ12" s="283"/>
      <c r="BTR12" s="283"/>
      <c r="BTS12" s="283"/>
      <c r="BTT12" s="283"/>
      <c r="BTU12" s="283"/>
      <c r="BTV12" s="283"/>
      <c r="BTW12" s="283"/>
      <c r="BTX12" s="283"/>
      <c r="BTY12" s="283"/>
      <c r="BTZ12" s="283"/>
      <c r="BUA12" s="283"/>
      <c r="BUB12" s="283"/>
      <c r="BUC12" s="283"/>
      <c r="BUD12" s="283"/>
      <c r="BUE12" s="283"/>
      <c r="BUF12" s="283"/>
      <c r="BUG12" s="283"/>
      <c r="BUH12" s="283"/>
      <c r="BUI12" s="283"/>
      <c r="BUJ12" s="283"/>
      <c r="BUK12" s="283"/>
      <c r="BUL12" s="283"/>
      <c r="BUM12" s="283"/>
      <c r="BUN12" s="283"/>
      <c r="BUO12" s="283"/>
      <c r="BUP12" s="283"/>
      <c r="BUQ12" s="283"/>
      <c r="BUR12" s="283"/>
      <c r="BUS12" s="283"/>
      <c r="BUT12" s="283"/>
      <c r="BUU12" s="283"/>
      <c r="BUV12" s="283"/>
      <c r="BUW12" s="283"/>
      <c r="BUX12" s="283"/>
      <c r="BUY12" s="283"/>
      <c r="BUZ12" s="283"/>
      <c r="BVA12" s="283"/>
      <c r="BVB12" s="283"/>
      <c r="BVC12" s="283"/>
      <c r="BVD12" s="283"/>
      <c r="BVE12" s="283"/>
      <c r="BVF12" s="283"/>
      <c r="BVG12" s="283"/>
      <c r="BVH12" s="283"/>
      <c r="BVI12" s="283"/>
      <c r="BVJ12" s="283"/>
      <c r="BVK12" s="283"/>
      <c r="BVL12" s="283"/>
      <c r="BVM12" s="283"/>
      <c r="BVN12" s="283"/>
      <c r="BVO12" s="283"/>
      <c r="BVP12" s="283"/>
      <c r="BVQ12" s="283"/>
      <c r="BVR12" s="283"/>
      <c r="BVS12" s="283"/>
      <c r="BVT12" s="283"/>
      <c r="BVU12" s="283"/>
      <c r="BVV12" s="283"/>
      <c r="BVW12" s="283"/>
      <c r="BVX12" s="283"/>
      <c r="BVY12" s="283"/>
      <c r="BVZ12" s="283"/>
      <c r="BWA12" s="283"/>
      <c r="BWB12" s="283"/>
      <c r="BWC12" s="283"/>
      <c r="BWD12" s="283"/>
      <c r="BWE12" s="283"/>
      <c r="BWF12" s="283"/>
      <c r="BWG12" s="283"/>
      <c r="BWH12" s="283"/>
      <c r="BWI12" s="283"/>
      <c r="BWJ12" s="283"/>
      <c r="BWK12" s="283"/>
      <c r="BWL12" s="283"/>
      <c r="BWM12" s="283"/>
      <c r="BWN12" s="283"/>
      <c r="BWO12" s="283"/>
      <c r="BWP12" s="283"/>
      <c r="BWQ12" s="283"/>
      <c r="BWR12" s="283"/>
      <c r="BWS12" s="283"/>
      <c r="BWT12" s="283"/>
      <c r="BWU12" s="283"/>
      <c r="BWV12" s="283"/>
      <c r="BWW12" s="283"/>
      <c r="BWX12" s="283"/>
      <c r="BWY12" s="283"/>
      <c r="BWZ12" s="283"/>
      <c r="BXA12" s="283"/>
      <c r="BXB12" s="283"/>
      <c r="BXC12" s="283"/>
      <c r="BXD12" s="283"/>
      <c r="BXE12" s="283"/>
      <c r="BXF12" s="283"/>
      <c r="BXG12" s="283"/>
      <c r="BXH12" s="283"/>
      <c r="BXI12" s="283"/>
      <c r="BXJ12" s="283"/>
      <c r="BXK12" s="283"/>
      <c r="BXL12" s="283"/>
      <c r="BXM12" s="283"/>
      <c r="BXN12" s="283"/>
      <c r="BXO12" s="283"/>
      <c r="BXP12" s="283"/>
      <c r="BXQ12" s="283"/>
      <c r="BXR12" s="283"/>
      <c r="BXS12" s="283"/>
      <c r="BXT12" s="283"/>
      <c r="BXU12" s="283"/>
      <c r="BXV12" s="283"/>
      <c r="BXW12" s="283"/>
      <c r="BXX12" s="283"/>
      <c r="BXY12" s="283"/>
      <c r="BXZ12" s="283"/>
      <c r="BYA12" s="283"/>
      <c r="BYB12" s="283"/>
      <c r="BYC12" s="283"/>
      <c r="BYD12" s="283"/>
      <c r="BYE12" s="283"/>
      <c r="BYF12" s="283"/>
      <c r="BYG12" s="283"/>
      <c r="BYH12" s="283"/>
      <c r="BYI12" s="283"/>
      <c r="BYJ12" s="283"/>
      <c r="BYK12" s="283"/>
      <c r="BYL12" s="283"/>
      <c r="BYM12" s="283"/>
      <c r="BYN12" s="283"/>
      <c r="BYO12" s="283"/>
      <c r="BYP12" s="283"/>
      <c r="BYQ12" s="283"/>
      <c r="BYR12" s="283"/>
      <c r="BYS12" s="283"/>
      <c r="BYT12" s="283"/>
      <c r="BYU12" s="283"/>
      <c r="BYV12" s="283"/>
      <c r="BYW12" s="283"/>
      <c r="BYX12" s="283"/>
      <c r="BYY12" s="283"/>
      <c r="BYZ12" s="283"/>
      <c r="BZA12" s="283"/>
      <c r="BZB12" s="283"/>
      <c r="BZC12" s="283"/>
      <c r="BZD12" s="283"/>
      <c r="BZE12" s="283"/>
      <c r="BZF12" s="283"/>
      <c r="BZG12" s="283"/>
      <c r="BZH12" s="283"/>
      <c r="BZI12" s="283"/>
      <c r="BZJ12" s="283"/>
      <c r="BZK12" s="283"/>
      <c r="BZL12" s="283"/>
      <c r="BZM12" s="283"/>
      <c r="BZN12" s="283"/>
      <c r="BZO12" s="283"/>
      <c r="BZP12" s="283"/>
      <c r="BZQ12" s="283"/>
      <c r="BZR12" s="283"/>
      <c r="BZS12" s="283"/>
      <c r="BZT12" s="283"/>
      <c r="BZU12" s="283"/>
      <c r="BZV12" s="283"/>
      <c r="BZW12" s="283"/>
      <c r="BZX12" s="283"/>
      <c r="BZY12" s="283"/>
      <c r="BZZ12" s="283"/>
      <c r="CAA12" s="283"/>
      <c r="CAB12" s="283"/>
      <c r="CAC12" s="283"/>
      <c r="CAD12" s="283"/>
      <c r="CAE12" s="283"/>
      <c r="CAF12" s="283"/>
      <c r="CAG12" s="283"/>
      <c r="CAH12" s="283"/>
      <c r="CAI12" s="283"/>
      <c r="CAJ12" s="283"/>
      <c r="CAK12" s="283"/>
      <c r="CAL12" s="283"/>
      <c r="CAM12" s="283"/>
      <c r="CAN12" s="283"/>
      <c r="CAO12" s="283"/>
      <c r="CAP12" s="283"/>
      <c r="CAQ12" s="283"/>
      <c r="CAR12" s="283"/>
      <c r="CAS12" s="283"/>
      <c r="CAT12" s="283"/>
      <c r="CAU12" s="283"/>
      <c r="CAV12" s="283"/>
      <c r="CAW12" s="283"/>
      <c r="CAX12" s="283"/>
      <c r="CAY12" s="283"/>
      <c r="CAZ12" s="283"/>
      <c r="CBA12" s="283"/>
      <c r="CBB12" s="283"/>
      <c r="CBC12" s="283"/>
      <c r="CBD12" s="283"/>
      <c r="CBE12" s="283"/>
      <c r="CBF12" s="283"/>
      <c r="CBG12" s="283"/>
      <c r="CBH12" s="283"/>
      <c r="CBI12" s="283"/>
      <c r="CBJ12" s="283"/>
      <c r="CBK12" s="283"/>
      <c r="CBL12" s="283"/>
      <c r="CBM12" s="283"/>
      <c r="CBN12" s="283"/>
      <c r="CBO12" s="283"/>
      <c r="CBP12" s="283"/>
      <c r="CBQ12" s="283"/>
      <c r="CBR12" s="283"/>
      <c r="CBS12" s="283"/>
      <c r="CBT12" s="283"/>
      <c r="CBU12" s="283"/>
      <c r="CBV12" s="283"/>
      <c r="CBW12" s="283"/>
      <c r="CBX12" s="283"/>
      <c r="CBY12" s="283"/>
      <c r="CBZ12" s="283"/>
      <c r="CCA12" s="283"/>
      <c r="CCB12" s="283"/>
      <c r="CCC12" s="283"/>
      <c r="CCD12" s="283"/>
      <c r="CCE12" s="283"/>
      <c r="CCF12" s="283"/>
      <c r="CCG12" s="283"/>
      <c r="CCH12" s="283"/>
      <c r="CCI12" s="283"/>
      <c r="CCJ12" s="283"/>
      <c r="CCK12" s="283"/>
      <c r="CCL12" s="283"/>
      <c r="CCM12" s="283"/>
      <c r="CCN12" s="283"/>
      <c r="CCO12" s="283"/>
      <c r="CCP12" s="283"/>
      <c r="CCQ12" s="283"/>
      <c r="CCR12" s="283"/>
      <c r="CCS12" s="283"/>
      <c r="CCT12" s="283"/>
      <c r="CCU12" s="283"/>
      <c r="CCV12" s="283"/>
      <c r="CCW12" s="283"/>
    </row>
    <row r="13" spans="1:2129 15008:15057" s="281" customFormat="1" ht="16.350000000000001" customHeight="1" x14ac:dyDescent="0.25">
      <c r="A13" s="284" t="s">
        <v>55</v>
      </c>
      <c r="B13" s="284">
        <v>4</v>
      </c>
      <c r="C13" s="284"/>
      <c r="D13" s="284"/>
      <c r="E13" s="284"/>
      <c r="F13" s="284"/>
      <c r="G13" s="285" t="s">
        <v>243</v>
      </c>
      <c r="H13" s="286" t="s">
        <v>244</v>
      </c>
      <c r="I13" s="286"/>
      <c r="J13" s="287"/>
      <c r="K13" s="288"/>
      <c r="L13" s="288"/>
      <c r="M13" s="289"/>
      <c r="N13" s="290">
        <v>43508</v>
      </c>
      <c r="O13" s="290">
        <v>43509</v>
      </c>
      <c r="P13" s="289">
        <v>2</v>
      </c>
      <c r="Q13" s="291">
        <v>0.7</v>
      </c>
      <c r="R13" s="288"/>
      <c r="S13" s="288"/>
      <c r="T13" s="289"/>
      <c r="U13" s="292"/>
      <c r="V13" s="292"/>
      <c r="W13" s="292"/>
      <c r="X13" s="293"/>
      <c r="Y13" s="294"/>
      <c r="Z13" s="295"/>
      <c r="AA13" s="296"/>
      <c r="AB13" s="297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83"/>
      <c r="CH13" s="283"/>
      <c r="CI13" s="283"/>
      <c r="CJ13" s="283"/>
      <c r="CK13" s="283"/>
      <c r="CL13" s="283"/>
      <c r="CM13" s="283"/>
      <c r="CN13" s="283"/>
      <c r="CO13" s="283"/>
      <c r="CP13" s="283"/>
      <c r="CQ13" s="283"/>
      <c r="CR13" s="283"/>
      <c r="CS13" s="283"/>
      <c r="CT13" s="283"/>
      <c r="CU13" s="283"/>
      <c r="CV13" s="283"/>
      <c r="CW13" s="283"/>
      <c r="CX13" s="283"/>
      <c r="CY13" s="283"/>
      <c r="CZ13" s="283"/>
      <c r="DA13" s="283"/>
      <c r="DB13" s="283"/>
      <c r="DC13" s="283"/>
      <c r="DD13" s="283"/>
      <c r="DE13" s="283"/>
      <c r="DF13" s="283"/>
      <c r="DG13" s="283"/>
      <c r="DH13" s="283"/>
      <c r="DI13" s="283"/>
      <c r="DJ13" s="283"/>
      <c r="DK13" s="283"/>
      <c r="DL13" s="283"/>
      <c r="DM13" s="283"/>
      <c r="DN13" s="283"/>
      <c r="DO13" s="283"/>
      <c r="DP13" s="283"/>
      <c r="DQ13" s="283"/>
      <c r="DR13" s="283"/>
      <c r="DS13" s="283"/>
      <c r="DT13" s="283"/>
      <c r="DU13" s="283"/>
      <c r="DV13" s="283"/>
      <c r="DW13" s="283"/>
      <c r="DX13" s="283"/>
      <c r="DY13" s="283"/>
      <c r="DZ13" s="283"/>
      <c r="EA13" s="283"/>
      <c r="EB13" s="283"/>
      <c r="EC13" s="283"/>
      <c r="ED13" s="283"/>
      <c r="EE13" s="283"/>
      <c r="EF13" s="283"/>
      <c r="EG13" s="283"/>
      <c r="EH13" s="283"/>
      <c r="EI13" s="283"/>
      <c r="EJ13" s="283"/>
      <c r="EK13" s="283"/>
      <c r="EL13" s="283"/>
      <c r="EM13" s="283"/>
      <c r="EN13" s="283"/>
      <c r="EO13" s="283"/>
      <c r="EP13" s="283"/>
      <c r="EQ13" s="283"/>
      <c r="ER13" s="283"/>
      <c r="ES13" s="283"/>
      <c r="ET13" s="283"/>
      <c r="EU13" s="283"/>
      <c r="EV13" s="283"/>
      <c r="EW13" s="283"/>
      <c r="EX13" s="283"/>
      <c r="EY13" s="283"/>
      <c r="EZ13" s="283"/>
      <c r="FA13" s="283"/>
      <c r="FB13" s="283"/>
      <c r="FC13" s="283"/>
      <c r="FD13" s="283"/>
      <c r="FE13" s="283"/>
      <c r="FF13" s="283"/>
      <c r="FG13" s="283"/>
      <c r="FH13" s="283"/>
      <c r="FI13" s="283"/>
      <c r="FJ13" s="283"/>
      <c r="FK13" s="283"/>
      <c r="FL13" s="283"/>
      <c r="FM13" s="283"/>
      <c r="FN13" s="283"/>
      <c r="FO13" s="283"/>
      <c r="FP13" s="283"/>
      <c r="FQ13" s="283"/>
      <c r="FR13" s="283"/>
      <c r="FS13" s="283"/>
      <c r="FT13" s="283"/>
      <c r="FU13" s="283"/>
      <c r="FV13" s="283"/>
      <c r="FW13" s="283"/>
      <c r="FX13" s="283"/>
      <c r="FY13" s="283"/>
      <c r="FZ13" s="283"/>
      <c r="GA13" s="283"/>
      <c r="GB13" s="283"/>
      <c r="GC13" s="283"/>
      <c r="GD13" s="283"/>
      <c r="GE13" s="283"/>
      <c r="GF13" s="283"/>
      <c r="GG13" s="283"/>
      <c r="GH13" s="283"/>
      <c r="GI13" s="283"/>
      <c r="GJ13" s="283"/>
      <c r="GK13" s="283"/>
      <c r="GL13" s="283"/>
      <c r="GM13" s="283"/>
      <c r="GN13" s="283"/>
      <c r="GO13" s="283"/>
      <c r="GP13" s="283"/>
      <c r="GQ13" s="283"/>
      <c r="GR13" s="283"/>
      <c r="GS13" s="283"/>
      <c r="GT13" s="283"/>
      <c r="GU13" s="283"/>
      <c r="GV13" s="283"/>
      <c r="GW13" s="283"/>
      <c r="GX13" s="283"/>
      <c r="GY13" s="283"/>
      <c r="GZ13" s="283"/>
      <c r="HA13" s="283"/>
      <c r="HB13" s="283"/>
      <c r="HC13" s="283"/>
      <c r="HD13" s="283"/>
      <c r="HE13" s="283"/>
      <c r="HF13" s="283"/>
      <c r="HG13" s="283"/>
      <c r="HH13" s="283"/>
      <c r="HI13" s="283"/>
      <c r="HJ13" s="283"/>
      <c r="HK13" s="283"/>
      <c r="HL13" s="283"/>
      <c r="HM13" s="283"/>
      <c r="HN13" s="283"/>
      <c r="HO13" s="283"/>
      <c r="HP13" s="283"/>
      <c r="HQ13" s="283"/>
      <c r="HR13" s="283"/>
      <c r="HS13" s="283"/>
      <c r="HT13" s="283"/>
      <c r="HU13" s="283"/>
      <c r="HV13" s="283"/>
      <c r="HW13" s="283"/>
      <c r="HX13" s="283"/>
      <c r="HY13" s="283"/>
      <c r="HZ13" s="283"/>
      <c r="IA13" s="283"/>
      <c r="IB13" s="283"/>
      <c r="IC13" s="283"/>
      <c r="ID13" s="283"/>
      <c r="IE13" s="283"/>
      <c r="IF13" s="283"/>
      <c r="IG13" s="283"/>
      <c r="IH13" s="283"/>
      <c r="II13" s="283"/>
      <c r="IJ13" s="283"/>
      <c r="IK13" s="283"/>
      <c r="IL13" s="283"/>
      <c r="IM13" s="283"/>
      <c r="IN13" s="283"/>
      <c r="IO13" s="283"/>
      <c r="IP13" s="283"/>
      <c r="IQ13" s="283"/>
      <c r="IR13" s="283"/>
      <c r="IS13" s="283"/>
      <c r="IT13" s="283"/>
      <c r="IU13" s="283"/>
      <c r="IV13" s="283"/>
      <c r="IW13" s="283"/>
      <c r="IX13" s="283"/>
      <c r="IY13" s="283"/>
      <c r="IZ13" s="283"/>
      <c r="JA13" s="283"/>
      <c r="JB13" s="283"/>
      <c r="JC13" s="283"/>
      <c r="JD13" s="283"/>
      <c r="JE13" s="283"/>
      <c r="JF13" s="283"/>
      <c r="JG13" s="283"/>
      <c r="JH13" s="283"/>
      <c r="JI13" s="283"/>
      <c r="JJ13" s="283"/>
      <c r="JK13" s="283"/>
      <c r="JL13" s="283"/>
      <c r="JM13" s="283"/>
      <c r="JN13" s="283"/>
      <c r="JO13" s="283"/>
      <c r="JP13" s="283"/>
      <c r="JQ13" s="283"/>
      <c r="JR13" s="283"/>
      <c r="JS13" s="283"/>
      <c r="JT13" s="283"/>
      <c r="JU13" s="283"/>
      <c r="JV13" s="283"/>
      <c r="JW13" s="283"/>
      <c r="JX13" s="283"/>
      <c r="JY13" s="283"/>
      <c r="JZ13" s="283"/>
      <c r="KA13" s="283"/>
      <c r="KB13" s="283"/>
      <c r="KC13" s="283"/>
      <c r="KD13" s="283"/>
      <c r="KE13" s="283"/>
      <c r="KF13" s="283"/>
      <c r="KG13" s="283"/>
      <c r="KH13" s="283"/>
      <c r="KI13" s="283"/>
      <c r="KJ13" s="283"/>
      <c r="KK13" s="283"/>
      <c r="KL13" s="283"/>
      <c r="KM13" s="283"/>
      <c r="KN13" s="283"/>
      <c r="KO13" s="283"/>
      <c r="KP13" s="283"/>
      <c r="KQ13" s="283"/>
      <c r="KR13" s="283"/>
      <c r="KS13" s="283"/>
      <c r="KT13" s="283"/>
      <c r="KU13" s="283"/>
      <c r="KV13" s="283"/>
      <c r="KW13" s="283"/>
      <c r="KX13" s="283"/>
      <c r="KY13" s="283"/>
      <c r="KZ13" s="283"/>
      <c r="LA13" s="283"/>
      <c r="LB13" s="283"/>
      <c r="LC13" s="283"/>
      <c r="LD13" s="283"/>
      <c r="LE13" s="283"/>
      <c r="LF13" s="283"/>
      <c r="LG13" s="283"/>
      <c r="LH13" s="283"/>
      <c r="LI13" s="283"/>
      <c r="LJ13" s="283"/>
      <c r="LK13" s="283"/>
      <c r="LL13" s="283"/>
      <c r="LM13" s="283"/>
      <c r="LN13" s="283"/>
      <c r="LO13" s="283"/>
      <c r="LP13" s="283"/>
      <c r="LQ13" s="283"/>
      <c r="LR13" s="283"/>
      <c r="LS13" s="283"/>
      <c r="LT13" s="283"/>
      <c r="LU13" s="283"/>
      <c r="LV13" s="283"/>
      <c r="LW13" s="283"/>
      <c r="LX13" s="283"/>
      <c r="LY13" s="283"/>
      <c r="LZ13" s="283"/>
      <c r="MA13" s="283"/>
      <c r="MB13" s="283"/>
      <c r="MC13" s="283"/>
      <c r="MD13" s="283"/>
      <c r="ME13" s="283"/>
      <c r="MF13" s="283"/>
      <c r="MG13" s="283"/>
      <c r="MH13" s="283"/>
      <c r="MI13" s="283"/>
      <c r="MJ13" s="283"/>
      <c r="MK13" s="283"/>
      <c r="ML13" s="283"/>
      <c r="MM13" s="283"/>
      <c r="MN13" s="283"/>
      <c r="MO13" s="283"/>
      <c r="MP13" s="283"/>
      <c r="MQ13" s="283"/>
      <c r="MR13" s="283"/>
      <c r="MS13" s="283"/>
      <c r="MT13" s="283"/>
      <c r="MU13" s="283"/>
      <c r="MV13" s="283"/>
      <c r="MW13" s="283"/>
      <c r="MX13" s="283"/>
      <c r="MY13" s="283"/>
      <c r="MZ13" s="283"/>
      <c r="NA13" s="283"/>
      <c r="NB13" s="283"/>
      <c r="NC13" s="283"/>
      <c r="ND13" s="283"/>
      <c r="NE13" s="283"/>
      <c r="NF13" s="283"/>
      <c r="NG13" s="283"/>
      <c r="NH13" s="283"/>
      <c r="NI13" s="283"/>
      <c r="NJ13" s="283"/>
      <c r="NK13" s="283"/>
      <c r="NL13" s="283"/>
      <c r="NM13" s="283"/>
      <c r="NN13" s="283"/>
      <c r="NO13" s="283"/>
      <c r="NP13" s="283"/>
      <c r="NQ13" s="283"/>
      <c r="NR13" s="283"/>
      <c r="NS13" s="283"/>
      <c r="NT13" s="283"/>
      <c r="NU13" s="283"/>
      <c r="NV13" s="283"/>
      <c r="NW13" s="283"/>
      <c r="NX13" s="283"/>
      <c r="NY13" s="283"/>
      <c r="NZ13" s="283"/>
      <c r="OA13" s="283"/>
      <c r="OB13" s="283"/>
      <c r="OC13" s="283"/>
      <c r="OD13" s="283"/>
      <c r="OE13" s="283"/>
      <c r="OF13" s="283"/>
      <c r="OG13" s="283"/>
      <c r="OH13" s="283"/>
      <c r="OI13" s="283"/>
      <c r="OJ13" s="283"/>
      <c r="OK13" s="283"/>
      <c r="OL13" s="283"/>
      <c r="OM13" s="283"/>
      <c r="ON13" s="283"/>
      <c r="OO13" s="283"/>
      <c r="OP13" s="283"/>
      <c r="OQ13" s="283"/>
      <c r="OR13" s="283"/>
      <c r="OS13" s="283"/>
      <c r="OT13" s="283"/>
      <c r="OU13" s="283"/>
      <c r="OV13" s="283"/>
      <c r="OW13" s="283"/>
      <c r="OX13" s="283"/>
      <c r="OY13" s="283"/>
      <c r="OZ13" s="283"/>
      <c r="PA13" s="283"/>
      <c r="PB13" s="283"/>
      <c r="PC13" s="283"/>
      <c r="PD13" s="283"/>
      <c r="PE13" s="283"/>
      <c r="PF13" s="283"/>
      <c r="PG13" s="283"/>
      <c r="PH13" s="283"/>
      <c r="PI13" s="283"/>
      <c r="PJ13" s="283"/>
      <c r="PK13" s="283"/>
      <c r="PL13" s="283"/>
      <c r="PM13" s="283"/>
      <c r="PN13" s="283"/>
      <c r="PO13" s="283"/>
      <c r="PP13" s="283"/>
      <c r="PQ13" s="283"/>
      <c r="PR13" s="283"/>
      <c r="PS13" s="283"/>
      <c r="PT13" s="283"/>
      <c r="PU13" s="283"/>
      <c r="PV13" s="283"/>
      <c r="PW13" s="283"/>
      <c r="PX13" s="283"/>
      <c r="PY13" s="283"/>
      <c r="PZ13" s="283"/>
      <c r="QA13" s="283"/>
      <c r="QB13" s="283"/>
      <c r="QC13" s="283"/>
      <c r="QD13" s="283"/>
      <c r="QE13" s="283"/>
      <c r="QF13" s="283"/>
      <c r="QG13" s="283"/>
      <c r="QH13" s="283"/>
      <c r="QI13" s="283"/>
      <c r="QJ13" s="283"/>
      <c r="QK13" s="283"/>
      <c r="QL13" s="283"/>
      <c r="QM13" s="283"/>
      <c r="QN13" s="283"/>
      <c r="QO13" s="283"/>
      <c r="QP13" s="283"/>
      <c r="QQ13" s="283"/>
      <c r="QR13" s="283"/>
      <c r="QS13" s="283"/>
      <c r="QT13" s="283"/>
      <c r="QU13" s="283"/>
      <c r="QV13" s="283"/>
      <c r="QW13" s="283"/>
      <c r="QX13" s="283"/>
      <c r="QY13" s="283"/>
      <c r="QZ13" s="283"/>
      <c r="RA13" s="283"/>
      <c r="RB13" s="283"/>
      <c r="RC13" s="283"/>
      <c r="RD13" s="283"/>
      <c r="RE13" s="283"/>
      <c r="RF13" s="283"/>
      <c r="RG13" s="283"/>
      <c r="RH13" s="283"/>
      <c r="RI13" s="283"/>
      <c r="RJ13" s="283"/>
      <c r="RK13" s="283"/>
      <c r="RL13" s="283"/>
      <c r="RM13" s="283"/>
      <c r="RN13" s="283"/>
      <c r="RO13" s="283"/>
      <c r="RP13" s="283"/>
      <c r="RQ13" s="283"/>
      <c r="RR13" s="283"/>
      <c r="RS13" s="283"/>
      <c r="RT13" s="283"/>
      <c r="RU13" s="283"/>
      <c r="RV13" s="283"/>
      <c r="RW13" s="283"/>
      <c r="RX13" s="283"/>
      <c r="RY13" s="283"/>
      <c r="RZ13" s="283"/>
      <c r="SA13" s="283"/>
      <c r="SB13" s="283"/>
      <c r="SC13" s="283"/>
      <c r="SD13" s="283"/>
      <c r="SE13" s="283"/>
      <c r="SF13" s="283"/>
      <c r="SG13" s="283"/>
      <c r="SH13" s="283"/>
      <c r="SI13" s="283"/>
      <c r="SJ13" s="283"/>
      <c r="SK13" s="283"/>
      <c r="SL13" s="283"/>
      <c r="SM13" s="283"/>
      <c r="SN13" s="283"/>
      <c r="SO13" s="283"/>
      <c r="SP13" s="283"/>
      <c r="SQ13" s="283"/>
      <c r="SR13" s="283"/>
      <c r="SS13" s="283"/>
      <c r="ST13" s="283"/>
      <c r="SU13" s="283"/>
      <c r="SV13" s="283"/>
      <c r="SW13" s="283"/>
      <c r="SX13" s="283"/>
      <c r="SY13" s="283"/>
      <c r="SZ13" s="283"/>
      <c r="TA13" s="283"/>
      <c r="TB13" s="283"/>
      <c r="TC13" s="283"/>
      <c r="TD13" s="283"/>
      <c r="TE13" s="283"/>
      <c r="TF13" s="283"/>
      <c r="TG13" s="283"/>
      <c r="TH13" s="283"/>
      <c r="TI13" s="283"/>
      <c r="TJ13" s="283"/>
      <c r="TK13" s="283"/>
      <c r="TL13" s="283"/>
      <c r="TM13" s="283"/>
      <c r="TN13" s="283"/>
      <c r="TO13" s="283"/>
      <c r="TP13" s="283"/>
      <c r="TQ13" s="283"/>
      <c r="TR13" s="283"/>
      <c r="TS13" s="283"/>
      <c r="TT13" s="283"/>
      <c r="TU13" s="283"/>
      <c r="TV13" s="283"/>
      <c r="TW13" s="283"/>
      <c r="TX13" s="283"/>
      <c r="TY13" s="283"/>
      <c r="TZ13" s="283"/>
      <c r="UA13" s="283"/>
      <c r="UB13" s="283"/>
      <c r="UC13" s="283"/>
      <c r="UD13" s="283"/>
      <c r="UE13" s="283"/>
      <c r="UF13" s="283"/>
      <c r="UG13" s="283"/>
      <c r="UH13" s="283"/>
      <c r="UI13" s="283"/>
      <c r="UJ13" s="283"/>
      <c r="UK13" s="283"/>
      <c r="UL13" s="283"/>
      <c r="UM13" s="283"/>
      <c r="UN13" s="283"/>
      <c r="UO13" s="283"/>
      <c r="UP13" s="283"/>
      <c r="UQ13" s="283"/>
      <c r="UR13" s="283"/>
      <c r="US13" s="283"/>
      <c r="UT13" s="283"/>
      <c r="UU13" s="283"/>
      <c r="UV13" s="283"/>
      <c r="UW13" s="283"/>
      <c r="UX13" s="283"/>
      <c r="UY13" s="283"/>
      <c r="UZ13" s="283"/>
      <c r="VA13" s="283"/>
      <c r="VB13" s="283"/>
      <c r="VC13" s="283"/>
      <c r="VD13" s="283"/>
      <c r="VE13" s="283"/>
      <c r="VF13" s="283"/>
      <c r="VG13" s="283"/>
      <c r="VH13" s="283"/>
      <c r="VI13" s="283"/>
      <c r="VJ13" s="283"/>
      <c r="VK13" s="283"/>
      <c r="VL13" s="283"/>
      <c r="VM13" s="283"/>
      <c r="VN13" s="283"/>
      <c r="VO13" s="283"/>
      <c r="VP13" s="283"/>
      <c r="VQ13" s="283"/>
      <c r="VR13" s="283"/>
      <c r="VS13" s="283"/>
      <c r="VT13" s="283"/>
      <c r="VU13" s="283"/>
      <c r="VV13" s="283"/>
      <c r="VW13" s="283"/>
      <c r="VX13" s="283"/>
      <c r="VY13" s="283"/>
      <c r="VZ13" s="283"/>
      <c r="WA13" s="283"/>
      <c r="WB13" s="283"/>
      <c r="WC13" s="283"/>
      <c r="WD13" s="283"/>
      <c r="WE13" s="283"/>
      <c r="WF13" s="283"/>
      <c r="WG13" s="283"/>
      <c r="WH13" s="283"/>
      <c r="WI13" s="283"/>
      <c r="WJ13" s="283"/>
      <c r="WK13" s="283"/>
      <c r="WL13" s="283"/>
      <c r="WM13" s="283"/>
      <c r="WN13" s="283"/>
      <c r="WO13" s="283"/>
      <c r="WP13" s="283"/>
      <c r="WQ13" s="283"/>
      <c r="WR13" s="283"/>
      <c r="WS13" s="283"/>
      <c r="WT13" s="283"/>
      <c r="WU13" s="283"/>
      <c r="WV13" s="283"/>
      <c r="WW13" s="283"/>
      <c r="WX13" s="283"/>
      <c r="WY13" s="283"/>
      <c r="WZ13" s="283"/>
      <c r="XA13" s="283"/>
      <c r="XB13" s="283"/>
      <c r="XC13" s="283"/>
      <c r="XD13" s="283"/>
      <c r="XE13" s="283"/>
      <c r="XF13" s="283"/>
      <c r="XG13" s="283"/>
      <c r="XH13" s="283"/>
      <c r="XI13" s="283"/>
      <c r="XJ13" s="283"/>
      <c r="XK13" s="283"/>
      <c r="XL13" s="283"/>
      <c r="XM13" s="283"/>
      <c r="XN13" s="283"/>
      <c r="XO13" s="283"/>
      <c r="XP13" s="283"/>
      <c r="XQ13" s="283"/>
      <c r="XR13" s="283"/>
      <c r="XS13" s="283"/>
      <c r="XT13" s="283"/>
      <c r="XU13" s="283"/>
      <c r="XV13" s="283"/>
      <c r="XW13" s="283"/>
      <c r="XX13" s="283"/>
      <c r="XY13" s="283"/>
      <c r="XZ13" s="283"/>
      <c r="YA13" s="283"/>
      <c r="YB13" s="283"/>
      <c r="YC13" s="283"/>
      <c r="YD13" s="283"/>
      <c r="YE13" s="283"/>
      <c r="YF13" s="283"/>
      <c r="YG13" s="283"/>
      <c r="YH13" s="283"/>
      <c r="YI13" s="283"/>
      <c r="YJ13" s="283"/>
      <c r="YK13" s="283"/>
      <c r="YL13" s="283"/>
      <c r="YM13" s="283"/>
      <c r="YN13" s="283"/>
      <c r="YO13" s="283"/>
      <c r="YP13" s="283"/>
      <c r="YQ13" s="283"/>
      <c r="YR13" s="283"/>
      <c r="YS13" s="283"/>
      <c r="YT13" s="283"/>
      <c r="YU13" s="283"/>
      <c r="YV13" s="283"/>
      <c r="YW13" s="283"/>
      <c r="YX13" s="283"/>
      <c r="YY13" s="283"/>
      <c r="YZ13" s="283"/>
      <c r="ZA13" s="283"/>
      <c r="ZB13" s="283"/>
      <c r="ZC13" s="283"/>
      <c r="ZD13" s="283"/>
      <c r="ZE13" s="283"/>
      <c r="ZF13" s="283"/>
      <c r="ZG13" s="283"/>
      <c r="ZH13" s="283"/>
      <c r="ZI13" s="283"/>
      <c r="ZJ13" s="283"/>
      <c r="ZK13" s="283"/>
      <c r="ZL13" s="283"/>
      <c r="ZM13" s="283"/>
      <c r="ZN13" s="283"/>
      <c r="ZO13" s="283"/>
      <c r="ZP13" s="283"/>
      <c r="ZQ13" s="283"/>
      <c r="ZR13" s="283"/>
      <c r="ZS13" s="283"/>
      <c r="ZT13" s="283"/>
      <c r="ZU13" s="283"/>
      <c r="ZV13" s="283"/>
      <c r="ZW13" s="283"/>
      <c r="ZX13" s="283"/>
      <c r="ZY13" s="283"/>
      <c r="ZZ13" s="283"/>
      <c r="AAA13" s="283"/>
      <c r="AAB13" s="283"/>
      <c r="AAC13" s="283"/>
      <c r="AAD13" s="283"/>
      <c r="AAE13" s="283"/>
      <c r="AAF13" s="283"/>
      <c r="AAG13" s="283"/>
      <c r="AAH13" s="283"/>
      <c r="AAI13" s="283"/>
      <c r="AAJ13" s="283"/>
      <c r="AAK13" s="283"/>
      <c r="AAL13" s="283"/>
      <c r="AAM13" s="283"/>
      <c r="AAN13" s="283"/>
      <c r="AAO13" s="283"/>
      <c r="AAP13" s="283"/>
      <c r="AAQ13" s="283"/>
      <c r="AAR13" s="283"/>
      <c r="AAS13" s="283"/>
      <c r="AAT13" s="283"/>
      <c r="AAU13" s="283"/>
      <c r="AAV13" s="283"/>
      <c r="AAW13" s="283"/>
      <c r="AAX13" s="283"/>
      <c r="AAY13" s="283"/>
      <c r="AAZ13" s="283"/>
      <c r="ABA13" s="283"/>
      <c r="ABB13" s="283"/>
      <c r="ABC13" s="283"/>
      <c r="ABD13" s="283"/>
      <c r="ABE13" s="283"/>
      <c r="ABF13" s="283"/>
      <c r="ABG13" s="283"/>
      <c r="ABH13" s="283"/>
      <c r="ABI13" s="283"/>
      <c r="ABJ13" s="283"/>
      <c r="ABK13" s="283"/>
      <c r="ABL13" s="283"/>
      <c r="ABM13" s="283"/>
      <c r="ABN13" s="283"/>
      <c r="ABO13" s="283"/>
      <c r="ABP13" s="283"/>
      <c r="ABQ13" s="283"/>
      <c r="ABR13" s="283"/>
      <c r="ABS13" s="283"/>
      <c r="ABT13" s="283"/>
      <c r="ABU13" s="283"/>
      <c r="ABV13" s="283"/>
      <c r="ABW13" s="283"/>
      <c r="ABX13" s="283"/>
      <c r="ABY13" s="283"/>
      <c r="ABZ13" s="283"/>
      <c r="ACA13" s="283"/>
      <c r="ACB13" s="283"/>
      <c r="ACC13" s="283"/>
      <c r="ACD13" s="283"/>
      <c r="ACE13" s="283"/>
      <c r="ACF13" s="283"/>
      <c r="ACG13" s="283"/>
      <c r="ACH13" s="283"/>
      <c r="ACI13" s="283"/>
      <c r="ACJ13" s="283"/>
      <c r="ACK13" s="283"/>
      <c r="ACL13" s="283"/>
      <c r="ACM13" s="283"/>
      <c r="ACN13" s="283"/>
      <c r="ACO13" s="283"/>
      <c r="ACP13" s="283"/>
      <c r="ACQ13" s="283"/>
      <c r="ACR13" s="283"/>
      <c r="ACS13" s="283"/>
      <c r="ACT13" s="283"/>
      <c r="ACU13" s="283"/>
      <c r="ACV13" s="283"/>
      <c r="ACW13" s="283"/>
      <c r="ACX13" s="283"/>
      <c r="ACY13" s="283"/>
      <c r="ACZ13" s="283"/>
      <c r="ADA13" s="283"/>
      <c r="ADB13" s="283"/>
      <c r="ADC13" s="283"/>
      <c r="ADD13" s="283"/>
      <c r="ADE13" s="283"/>
      <c r="ADF13" s="283"/>
      <c r="ADG13" s="283"/>
      <c r="ADH13" s="283"/>
      <c r="ADI13" s="283"/>
      <c r="ADJ13" s="283"/>
      <c r="ADK13" s="283"/>
      <c r="ADL13" s="283"/>
      <c r="ADM13" s="283"/>
      <c r="ADN13" s="283"/>
      <c r="ADO13" s="283"/>
      <c r="ADP13" s="283"/>
      <c r="ADQ13" s="283"/>
      <c r="ADR13" s="283"/>
      <c r="ADS13" s="283"/>
      <c r="ADT13" s="283"/>
      <c r="ADU13" s="283"/>
      <c r="ADV13" s="283"/>
      <c r="ADW13" s="283"/>
      <c r="ADX13" s="283"/>
      <c r="ADY13" s="283"/>
      <c r="ADZ13" s="283"/>
      <c r="AEA13" s="283"/>
      <c r="AEB13" s="283"/>
      <c r="AEC13" s="283"/>
      <c r="AED13" s="283"/>
      <c r="AEE13" s="283"/>
      <c r="AEF13" s="283"/>
      <c r="AEG13" s="283"/>
      <c r="AEH13" s="283"/>
      <c r="AEI13" s="283"/>
      <c r="AEJ13" s="283"/>
      <c r="AEK13" s="283"/>
      <c r="AEL13" s="283"/>
      <c r="AEM13" s="283"/>
      <c r="AEN13" s="283"/>
      <c r="AEO13" s="283"/>
      <c r="AEP13" s="283"/>
      <c r="AEQ13" s="283"/>
      <c r="AER13" s="283"/>
      <c r="AES13" s="283"/>
      <c r="AET13" s="283"/>
      <c r="AEU13" s="283"/>
      <c r="AEV13" s="283"/>
      <c r="AEW13" s="283"/>
      <c r="AEX13" s="283"/>
      <c r="AEY13" s="283"/>
      <c r="AEZ13" s="283"/>
      <c r="AFA13" s="283"/>
      <c r="AFB13" s="283"/>
      <c r="AFC13" s="283"/>
      <c r="AFD13" s="283"/>
      <c r="AFE13" s="283"/>
      <c r="AFF13" s="283"/>
      <c r="AFG13" s="283"/>
      <c r="AFH13" s="283"/>
      <c r="AFI13" s="283"/>
      <c r="AFJ13" s="283"/>
      <c r="AFK13" s="283"/>
      <c r="AFL13" s="283"/>
      <c r="AFM13" s="283"/>
      <c r="AFN13" s="283"/>
      <c r="AFO13" s="283"/>
      <c r="AFP13" s="283"/>
      <c r="AFQ13" s="283"/>
      <c r="AFR13" s="283"/>
      <c r="AFS13" s="283"/>
      <c r="AFT13" s="283"/>
      <c r="AFU13" s="283"/>
      <c r="AFV13" s="283"/>
      <c r="AFW13" s="283"/>
      <c r="AFX13" s="283"/>
      <c r="AFY13" s="283"/>
      <c r="AFZ13" s="283"/>
      <c r="AGA13" s="283"/>
      <c r="AGB13" s="283"/>
      <c r="AGC13" s="283"/>
      <c r="AGD13" s="283"/>
      <c r="AGE13" s="283"/>
      <c r="AGF13" s="283"/>
      <c r="AGG13" s="283"/>
      <c r="AGH13" s="283"/>
      <c r="AGI13" s="283"/>
      <c r="AGJ13" s="283"/>
      <c r="AGK13" s="283"/>
      <c r="AGL13" s="283"/>
      <c r="AGM13" s="283"/>
      <c r="AGN13" s="283"/>
      <c r="AGO13" s="283"/>
      <c r="AGP13" s="283"/>
      <c r="AGQ13" s="283"/>
      <c r="AGR13" s="283"/>
      <c r="AGS13" s="283"/>
      <c r="AGT13" s="283"/>
      <c r="AGU13" s="283"/>
      <c r="AGV13" s="283"/>
      <c r="AGW13" s="283"/>
      <c r="AGX13" s="283"/>
      <c r="AGY13" s="283"/>
      <c r="AGZ13" s="283"/>
      <c r="AHA13" s="283"/>
      <c r="AHB13" s="283"/>
      <c r="AHC13" s="283"/>
      <c r="AHD13" s="283"/>
      <c r="AHE13" s="283"/>
      <c r="AHF13" s="283"/>
      <c r="AHG13" s="283"/>
      <c r="AHH13" s="283"/>
      <c r="AHI13" s="283"/>
      <c r="AHJ13" s="283"/>
      <c r="AHK13" s="283"/>
      <c r="AHL13" s="283"/>
      <c r="AHM13" s="283"/>
      <c r="AHN13" s="283"/>
      <c r="AHO13" s="283"/>
      <c r="AHP13" s="283"/>
      <c r="AHQ13" s="283"/>
      <c r="AHR13" s="283"/>
      <c r="AHS13" s="283"/>
      <c r="AHT13" s="283"/>
      <c r="AHU13" s="283"/>
      <c r="AHV13" s="283"/>
      <c r="AHW13" s="283"/>
      <c r="AHX13" s="283"/>
      <c r="AHY13" s="283"/>
      <c r="AHZ13" s="283"/>
      <c r="AIA13" s="283"/>
      <c r="AIB13" s="283"/>
      <c r="AIC13" s="283"/>
      <c r="AID13" s="283"/>
      <c r="AIE13" s="283"/>
      <c r="AIF13" s="283"/>
      <c r="AIG13" s="283"/>
      <c r="AIH13" s="283"/>
      <c r="AII13" s="283"/>
      <c r="AIJ13" s="283"/>
      <c r="AIK13" s="283"/>
      <c r="AIL13" s="283"/>
      <c r="AIM13" s="283"/>
      <c r="AIN13" s="283"/>
      <c r="AIO13" s="283"/>
      <c r="AIP13" s="283"/>
      <c r="AIQ13" s="283"/>
      <c r="AIR13" s="283"/>
      <c r="AIS13" s="283"/>
      <c r="AIT13" s="283"/>
      <c r="AIU13" s="283"/>
      <c r="AIV13" s="283"/>
      <c r="AIW13" s="283"/>
      <c r="AIX13" s="283"/>
      <c r="AIY13" s="283"/>
      <c r="AIZ13" s="283"/>
      <c r="AJA13" s="283"/>
      <c r="AJB13" s="283"/>
      <c r="AJC13" s="283"/>
      <c r="AJD13" s="283"/>
      <c r="AJE13" s="283"/>
      <c r="AJF13" s="283"/>
      <c r="AJG13" s="283"/>
      <c r="AJH13" s="283"/>
      <c r="AJI13" s="283"/>
      <c r="AJJ13" s="283"/>
      <c r="AJK13" s="283"/>
      <c r="AJL13" s="283"/>
      <c r="AJM13" s="283"/>
      <c r="AJN13" s="283"/>
      <c r="AJO13" s="283"/>
      <c r="AJP13" s="283"/>
      <c r="AJQ13" s="283"/>
      <c r="AJR13" s="283"/>
      <c r="AJS13" s="283"/>
      <c r="AJT13" s="283"/>
      <c r="AJU13" s="283"/>
      <c r="AJV13" s="283"/>
      <c r="AJW13" s="283"/>
      <c r="AJX13" s="283"/>
      <c r="AJY13" s="283"/>
      <c r="AJZ13" s="283"/>
      <c r="AKA13" s="283"/>
      <c r="AKB13" s="283"/>
      <c r="AKC13" s="283"/>
      <c r="AKD13" s="283"/>
      <c r="AKE13" s="283"/>
      <c r="AKF13" s="283"/>
      <c r="AKG13" s="283"/>
      <c r="AKH13" s="283"/>
      <c r="AKI13" s="283"/>
      <c r="AKJ13" s="283"/>
      <c r="AKK13" s="283"/>
      <c r="AKL13" s="283"/>
      <c r="AKM13" s="283"/>
      <c r="AKN13" s="283"/>
      <c r="AKO13" s="283"/>
      <c r="AKP13" s="283"/>
      <c r="AKQ13" s="283"/>
      <c r="AKR13" s="283"/>
      <c r="AKS13" s="283"/>
      <c r="AKT13" s="283"/>
      <c r="AKU13" s="283"/>
      <c r="AKV13" s="283"/>
      <c r="AKW13" s="283"/>
      <c r="AKX13" s="283"/>
      <c r="AKY13" s="283"/>
      <c r="AKZ13" s="283"/>
      <c r="ALA13" s="283"/>
      <c r="ALB13" s="283"/>
      <c r="ALC13" s="283"/>
      <c r="ALD13" s="283"/>
      <c r="ALE13" s="283"/>
      <c r="ALF13" s="283"/>
      <c r="ALG13" s="283"/>
      <c r="ALH13" s="283"/>
      <c r="ALI13" s="283"/>
      <c r="ALJ13" s="283"/>
      <c r="ALK13" s="283"/>
      <c r="ALL13" s="283"/>
      <c r="ALM13" s="283"/>
      <c r="ALN13" s="283"/>
      <c r="ALO13" s="283"/>
      <c r="ALP13" s="283"/>
      <c r="ALQ13" s="283"/>
      <c r="ALR13" s="283"/>
      <c r="ALS13" s="283"/>
      <c r="ALT13" s="283"/>
      <c r="ALU13" s="283"/>
      <c r="ALV13" s="283"/>
      <c r="ALW13" s="283"/>
      <c r="ALX13" s="283"/>
      <c r="ALY13" s="283"/>
      <c r="ALZ13" s="283"/>
      <c r="AMA13" s="283"/>
      <c r="AMB13" s="283"/>
      <c r="AMC13" s="283"/>
      <c r="AMD13" s="283"/>
      <c r="AME13" s="283"/>
      <c r="AMF13" s="283"/>
      <c r="AMG13" s="283"/>
      <c r="AMH13" s="283"/>
      <c r="AMI13" s="283"/>
      <c r="AMJ13" s="283"/>
      <c r="AMK13" s="283"/>
      <c r="AML13" s="283"/>
      <c r="AMM13" s="283"/>
      <c r="AMN13" s="283"/>
      <c r="AMO13" s="283"/>
      <c r="AMP13" s="283"/>
      <c r="AMQ13" s="283"/>
      <c r="AMR13" s="283"/>
      <c r="AMS13" s="283"/>
      <c r="AMT13" s="283"/>
      <c r="AMU13" s="283"/>
      <c r="AMV13" s="283"/>
      <c r="AMW13" s="283"/>
      <c r="AMX13" s="283"/>
      <c r="AMY13" s="283"/>
      <c r="AMZ13" s="283"/>
      <c r="ANA13" s="283"/>
      <c r="ANB13" s="283"/>
      <c r="ANC13" s="283"/>
      <c r="AND13" s="283"/>
      <c r="ANE13" s="283"/>
      <c r="ANF13" s="283"/>
      <c r="ANG13" s="283"/>
      <c r="ANH13" s="283"/>
      <c r="ANI13" s="283"/>
      <c r="ANJ13" s="283"/>
      <c r="ANK13" s="283"/>
      <c r="ANL13" s="283"/>
      <c r="ANM13" s="283"/>
      <c r="ANN13" s="283"/>
      <c r="ANO13" s="283"/>
      <c r="ANP13" s="283"/>
      <c r="ANQ13" s="283"/>
      <c r="ANR13" s="283"/>
      <c r="ANS13" s="283"/>
      <c r="ANT13" s="283"/>
      <c r="ANU13" s="283"/>
      <c r="ANV13" s="283"/>
      <c r="ANW13" s="283"/>
      <c r="ANX13" s="283"/>
      <c r="ANY13" s="283"/>
      <c r="ANZ13" s="283"/>
      <c r="AOA13" s="283"/>
      <c r="AOB13" s="283"/>
      <c r="AOC13" s="283"/>
      <c r="AOD13" s="283"/>
      <c r="AOE13" s="283"/>
      <c r="AOF13" s="283"/>
      <c r="AOG13" s="283"/>
      <c r="AOH13" s="283"/>
      <c r="AOI13" s="283"/>
      <c r="AOJ13" s="283"/>
      <c r="AOK13" s="283"/>
      <c r="AOL13" s="283"/>
      <c r="AOM13" s="283"/>
      <c r="AON13" s="283"/>
      <c r="AOO13" s="283"/>
      <c r="AOP13" s="283"/>
      <c r="AOQ13" s="283"/>
      <c r="AOR13" s="283"/>
      <c r="AOS13" s="283"/>
      <c r="AOT13" s="283"/>
      <c r="AOU13" s="283"/>
      <c r="AOV13" s="283"/>
      <c r="AOW13" s="283"/>
      <c r="AOX13" s="283"/>
      <c r="AOY13" s="283"/>
      <c r="AOZ13" s="283"/>
      <c r="APA13" s="283"/>
      <c r="APB13" s="283"/>
      <c r="APC13" s="283"/>
      <c r="APD13" s="283"/>
      <c r="APE13" s="283"/>
      <c r="APF13" s="283"/>
      <c r="APG13" s="283"/>
      <c r="APH13" s="283"/>
      <c r="API13" s="283"/>
      <c r="APJ13" s="283"/>
      <c r="APK13" s="283"/>
      <c r="APL13" s="283"/>
      <c r="APM13" s="283"/>
      <c r="APN13" s="283"/>
      <c r="APO13" s="283"/>
      <c r="APP13" s="283"/>
      <c r="APQ13" s="283"/>
      <c r="APR13" s="283"/>
      <c r="APS13" s="283"/>
      <c r="APT13" s="283"/>
      <c r="APU13" s="283"/>
      <c r="APV13" s="283"/>
      <c r="APW13" s="283"/>
      <c r="APX13" s="283"/>
      <c r="APY13" s="283"/>
      <c r="APZ13" s="283"/>
      <c r="AQA13" s="283"/>
      <c r="AQB13" s="283"/>
      <c r="AQC13" s="283"/>
      <c r="AQD13" s="283"/>
      <c r="AQE13" s="283"/>
      <c r="AQF13" s="283"/>
      <c r="AQG13" s="283"/>
      <c r="AQH13" s="283"/>
      <c r="AQI13" s="283"/>
      <c r="AQJ13" s="283"/>
      <c r="AQK13" s="283"/>
      <c r="AQL13" s="283"/>
      <c r="AQM13" s="283"/>
      <c r="AQN13" s="283"/>
      <c r="AQO13" s="283"/>
      <c r="AQP13" s="283"/>
      <c r="AQQ13" s="283"/>
      <c r="AQR13" s="283"/>
      <c r="AQS13" s="283"/>
      <c r="AQT13" s="283"/>
      <c r="AQU13" s="283"/>
      <c r="AQV13" s="283"/>
      <c r="AQW13" s="283"/>
      <c r="AQX13" s="283"/>
      <c r="AQY13" s="283"/>
      <c r="AQZ13" s="283"/>
      <c r="ARA13" s="283"/>
      <c r="ARB13" s="283"/>
      <c r="ARC13" s="283"/>
      <c r="ARD13" s="283"/>
      <c r="ARE13" s="283"/>
      <c r="ARF13" s="283"/>
      <c r="ARG13" s="283"/>
      <c r="ARH13" s="283"/>
      <c r="ARI13" s="283"/>
      <c r="ARJ13" s="283"/>
      <c r="ARK13" s="283"/>
      <c r="ARL13" s="283"/>
      <c r="ARM13" s="283"/>
      <c r="ARN13" s="283"/>
      <c r="ARO13" s="283"/>
      <c r="ARP13" s="283"/>
      <c r="ARQ13" s="283"/>
      <c r="ARR13" s="283"/>
      <c r="ARS13" s="283"/>
      <c r="ART13" s="283"/>
      <c r="ARU13" s="283"/>
      <c r="ARV13" s="283"/>
      <c r="ARW13" s="283"/>
      <c r="ARX13" s="283"/>
      <c r="ARY13" s="283"/>
      <c r="ARZ13" s="283"/>
      <c r="ASA13" s="283"/>
      <c r="ASB13" s="283"/>
      <c r="ASC13" s="283"/>
      <c r="ASD13" s="283"/>
      <c r="ASE13" s="283"/>
      <c r="ASF13" s="283"/>
      <c r="ASG13" s="283"/>
      <c r="ASH13" s="283"/>
      <c r="ASI13" s="283"/>
      <c r="ASJ13" s="283"/>
      <c r="ASK13" s="283"/>
      <c r="ASL13" s="283"/>
      <c r="ASM13" s="283"/>
      <c r="ASN13" s="283"/>
      <c r="ASO13" s="283"/>
      <c r="ASP13" s="283"/>
      <c r="ASQ13" s="283"/>
      <c r="ASR13" s="283"/>
      <c r="ASS13" s="283"/>
      <c r="AST13" s="283"/>
      <c r="ASU13" s="283"/>
      <c r="ASV13" s="283"/>
      <c r="ASW13" s="283"/>
      <c r="ASX13" s="283"/>
      <c r="ASY13" s="283"/>
      <c r="ASZ13" s="283"/>
      <c r="ATA13" s="283"/>
      <c r="ATB13" s="283"/>
      <c r="ATC13" s="283"/>
      <c r="ATD13" s="283"/>
      <c r="ATE13" s="283"/>
      <c r="ATF13" s="283"/>
      <c r="ATG13" s="283"/>
      <c r="ATH13" s="283"/>
      <c r="ATI13" s="283"/>
      <c r="ATJ13" s="283"/>
      <c r="ATK13" s="283"/>
      <c r="ATL13" s="283"/>
      <c r="ATM13" s="283"/>
      <c r="ATN13" s="283"/>
      <c r="ATO13" s="283"/>
      <c r="ATP13" s="283"/>
      <c r="ATQ13" s="283"/>
      <c r="ATR13" s="283"/>
      <c r="ATS13" s="283"/>
      <c r="ATT13" s="283"/>
      <c r="ATU13" s="283"/>
      <c r="ATV13" s="283"/>
      <c r="ATW13" s="283"/>
      <c r="ATX13" s="283"/>
      <c r="ATY13" s="283"/>
      <c r="ATZ13" s="283"/>
      <c r="AUA13" s="283"/>
      <c r="AUB13" s="283"/>
      <c r="AUC13" s="283"/>
      <c r="AUD13" s="283"/>
      <c r="AUE13" s="283"/>
      <c r="AUF13" s="283"/>
      <c r="AUG13" s="283"/>
      <c r="AUH13" s="283"/>
      <c r="AUI13" s="283"/>
      <c r="AUJ13" s="283"/>
      <c r="AUK13" s="283"/>
      <c r="AUL13" s="283"/>
      <c r="AUM13" s="283"/>
      <c r="AUN13" s="283"/>
      <c r="AUO13" s="283"/>
      <c r="AUP13" s="283"/>
      <c r="AUQ13" s="283"/>
      <c r="AUR13" s="283"/>
      <c r="AUS13" s="283"/>
      <c r="AUT13" s="283"/>
      <c r="AUU13" s="283"/>
      <c r="AUV13" s="283"/>
      <c r="AUW13" s="283"/>
      <c r="AUX13" s="283"/>
      <c r="AUY13" s="283"/>
      <c r="AUZ13" s="283"/>
      <c r="AVA13" s="283"/>
      <c r="AVB13" s="283"/>
      <c r="AVC13" s="283"/>
      <c r="AVD13" s="283"/>
      <c r="AVE13" s="283"/>
      <c r="AVF13" s="283"/>
      <c r="AVG13" s="283"/>
      <c r="AVH13" s="283"/>
      <c r="AVI13" s="283"/>
      <c r="AVJ13" s="283"/>
      <c r="AVK13" s="283"/>
      <c r="AVL13" s="283"/>
      <c r="AVM13" s="283"/>
      <c r="AVN13" s="283"/>
      <c r="AVO13" s="283"/>
      <c r="AVP13" s="283"/>
      <c r="AVQ13" s="283"/>
      <c r="AVR13" s="283"/>
      <c r="AVS13" s="283"/>
      <c r="AVT13" s="283"/>
      <c r="AVU13" s="283"/>
      <c r="AVV13" s="283"/>
      <c r="AVW13" s="283"/>
      <c r="AVX13" s="283"/>
      <c r="AVY13" s="283"/>
      <c r="AVZ13" s="283"/>
      <c r="AWA13" s="283"/>
      <c r="AWB13" s="283"/>
      <c r="AWC13" s="283"/>
      <c r="AWD13" s="283"/>
      <c r="AWE13" s="283"/>
      <c r="AWF13" s="283"/>
      <c r="AWG13" s="283"/>
      <c r="AWH13" s="283"/>
      <c r="AWI13" s="283"/>
      <c r="AWJ13" s="283"/>
      <c r="AWK13" s="283"/>
      <c r="AWL13" s="283"/>
      <c r="AWM13" s="283"/>
      <c r="AWN13" s="283"/>
      <c r="AWO13" s="283"/>
      <c r="AWP13" s="283"/>
      <c r="AWQ13" s="283"/>
      <c r="AWR13" s="283"/>
      <c r="AWS13" s="283"/>
      <c r="AWT13" s="283"/>
      <c r="AWU13" s="283"/>
      <c r="AWV13" s="283"/>
      <c r="AWW13" s="283"/>
      <c r="AWX13" s="283"/>
      <c r="AWY13" s="283"/>
      <c r="AWZ13" s="283"/>
      <c r="AXA13" s="283"/>
      <c r="AXB13" s="283"/>
      <c r="AXC13" s="283"/>
      <c r="AXD13" s="283"/>
      <c r="AXE13" s="283"/>
      <c r="AXF13" s="283"/>
      <c r="AXG13" s="283"/>
      <c r="AXH13" s="283"/>
      <c r="AXI13" s="283"/>
      <c r="AXJ13" s="283"/>
      <c r="AXK13" s="283"/>
      <c r="AXL13" s="283"/>
      <c r="AXM13" s="283"/>
      <c r="AXN13" s="283"/>
      <c r="AXO13" s="283"/>
      <c r="AXP13" s="283"/>
      <c r="AXQ13" s="283"/>
      <c r="AXR13" s="283"/>
      <c r="AXS13" s="283"/>
      <c r="AXT13" s="283"/>
      <c r="AXU13" s="283"/>
      <c r="AXV13" s="283"/>
      <c r="AXW13" s="283"/>
      <c r="AXX13" s="283"/>
      <c r="AXY13" s="283"/>
      <c r="AXZ13" s="283"/>
      <c r="AYA13" s="283"/>
      <c r="AYB13" s="283"/>
      <c r="AYC13" s="283"/>
      <c r="AYD13" s="283"/>
      <c r="AYE13" s="283"/>
      <c r="AYF13" s="283"/>
      <c r="AYG13" s="283"/>
      <c r="AYH13" s="283"/>
      <c r="AYI13" s="283"/>
      <c r="AYJ13" s="283"/>
      <c r="AYK13" s="283"/>
      <c r="AYL13" s="283"/>
      <c r="AYM13" s="283"/>
      <c r="AYN13" s="283"/>
      <c r="AYO13" s="283"/>
      <c r="AYP13" s="283"/>
      <c r="AYQ13" s="283"/>
      <c r="AYR13" s="283"/>
      <c r="AYS13" s="283"/>
      <c r="AYT13" s="283"/>
      <c r="AYU13" s="283"/>
      <c r="AYV13" s="283"/>
      <c r="AYW13" s="283"/>
      <c r="AYX13" s="283"/>
      <c r="AYY13" s="283"/>
      <c r="AYZ13" s="283"/>
      <c r="AZA13" s="283"/>
      <c r="AZB13" s="283"/>
      <c r="AZC13" s="283"/>
      <c r="AZD13" s="283"/>
      <c r="AZE13" s="283"/>
      <c r="AZF13" s="283"/>
      <c r="AZG13" s="283"/>
      <c r="AZH13" s="283"/>
      <c r="AZI13" s="283"/>
      <c r="AZJ13" s="283"/>
      <c r="AZK13" s="283"/>
      <c r="AZL13" s="283"/>
      <c r="AZM13" s="283"/>
      <c r="AZN13" s="283"/>
      <c r="AZO13" s="283"/>
      <c r="AZP13" s="283"/>
      <c r="AZQ13" s="283"/>
      <c r="AZR13" s="283"/>
      <c r="AZS13" s="283"/>
      <c r="AZT13" s="283"/>
      <c r="AZU13" s="283"/>
      <c r="AZV13" s="283"/>
      <c r="AZW13" s="283"/>
      <c r="AZX13" s="283"/>
      <c r="AZY13" s="283"/>
      <c r="AZZ13" s="283"/>
      <c r="BAA13" s="283"/>
      <c r="BAB13" s="283"/>
      <c r="BAC13" s="283"/>
      <c r="BAD13" s="283"/>
      <c r="BAE13" s="283"/>
      <c r="BAF13" s="283"/>
      <c r="BAG13" s="283"/>
      <c r="BAH13" s="283"/>
      <c r="BAI13" s="283"/>
      <c r="BAJ13" s="283"/>
      <c r="BAK13" s="283"/>
      <c r="BAL13" s="283"/>
      <c r="BAM13" s="283"/>
      <c r="BAN13" s="283"/>
      <c r="BAO13" s="283"/>
      <c r="BAP13" s="283"/>
      <c r="BAQ13" s="283"/>
      <c r="BAR13" s="283"/>
      <c r="BAS13" s="283"/>
      <c r="BAT13" s="283"/>
      <c r="BAU13" s="283"/>
      <c r="BAV13" s="283"/>
      <c r="BAW13" s="283"/>
      <c r="BAX13" s="283"/>
      <c r="BAY13" s="283"/>
      <c r="BAZ13" s="283"/>
      <c r="BBA13" s="283"/>
      <c r="BBB13" s="283"/>
      <c r="BBC13" s="283"/>
      <c r="BBD13" s="283"/>
      <c r="BBE13" s="283"/>
      <c r="BBF13" s="283"/>
      <c r="BBG13" s="283"/>
      <c r="BBH13" s="283"/>
      <c r="BBI13" s="283"/>
      <c r="BBJ13" s="283"/>
      <c r="BBK13" s="283"/>
      <c r="BBL13" s="283"/>
      <c r="BBM13" s="283"/>
      <c r="BBN13" s="283"/>
      <c r="BBO13" s="283"/>
      <c r="BBP13" s="283"/>
      <c r="BBQ13" s="283"/>
      <c r="BBR13" s="283"/>
      <c r="BBS13" s="283"/>
      <c r="BBT13" s="283"/>
      <c r="BBU13" s="283"/>
      <c r="BBV13" s="283"/>
      <c r="BBW13" s="283"/>
      <c r="BBX13" s="283"/>
      <c r="BBY13" s="283"/>
      <c r="BBZ13" s="283"/>
      <c r="BCA13" s="283"/>
      <c r="BCB13" s="283"/>
      <c r="BCC13" s="283"/>
      <c r="BCD13" s="283"/>
      <c r="BCE13" s="283"/>
      <c r="BCF13" s="283"/>
      <c r="BCG13" s="283"/>
      <c r="BCH13" s="283"/>
      <c r="BCI13" s="283"/>
      <c r="BCJ13" s="283"/>
      <c r="BCK13" s="283"/>
      <c r="BCL13" s="283"/>
      <c r="BCM13" s="283"/>
      <c r="BCN13" s="283"/>
      <c r="BCO13" s="283"/>
      <c r="BCP13" s="283"/>
      <c r="BCQ13" s="283"/>
      <c r="BCR13" s="283"/>
      <c r="BCS13" s="283"/>
      <c r="BCT13" s="283"/>
      <c r="BCU13" s="283"/>
      <c r="BCV13" s="283"/>
      <c r="BCW13" s="283"/>
      <c r="BCX13" s="283"/>
      <c r="BCY13" s="283"/>
      <c r="BCZ13" s="283"/>
      <c r="BDA13" s="283"/>
      <c r="BDB13" s="283"/>
      <c r="BDC13" s="283"/>
      <c r="BDD13" s="283"/>
      <c r="BDE13" s="283"/>
      <c r="BDF13" s="283"/>
      <c r="BDG13" s="283"/>
      <c r="BDH13" s="283"/>
      <c r="BDI13" s="283"/>
      <c r="BDJ13" s="283"/>
      <c r="BDK13" s="283"/>
      <c r="BDL13" s="283"/>
      <c r="BDM13" s="283"/>
      <c r="BDN13" s="283"/>
      <c r="BDO13" s="283"/>
      <c r="BDP13" s="283"/>
      <c r="BDQ13" s="283"/>
      <c r="BDR13" s="283"/>
      <c r="BDS13" s="283"/>
      <c r="BDT13" s="283"/>
      <c r="BDU13" s="283"/>
      <c r="BDV13" s="283"/>
      <c r="BDW13" s="283"/>
      <c r="BDX13" s="283"/>
      <c r="BDY13" s="283"/>
      <c r="BDZ13" s="283"/>
      <c r="BEA13" s="283"/>
      <c r="BEB13" s="283"/>
      <c r="BEC13" s="283"/>
      <c r="BED13" s="283"/>
      <c r="BEE13" s="283"/>
      <c r="BEF13" s="283"/>
      <c r="BEG13" s="283"/>
      <c r="BEH13" s="283"/>
      <c r="BEI13" s="283"/>
      <c r="BEJ13" s="283"/>
      <c r="BEK13" s="283"/>
      <c r="BEL13" s="283"/>
      <c r="BEM13" s="283"/>
      <c r="BEN13" s="283"/>
      <c r="BEO13" s="283"/>
      <c r="BEP13" s="283"/>
      <c r="BEQ13" s="283"/>
      <c r="BER13" s="283"/>
      <c r="BES13" s="283"/>
      <c r="BET13" s="283"/>
      <c r="BEU13" s="283"/>
      <c r="BEV13" s="283"/>
      <c r="BEW13" s="283"/>
      <c r="BEX13" s="283"/>
      <c r="BEY13" s="283"/>
      <c r="BEZ13" s="283"/>
      <c r="BFA13" s="283"/>
      <c r="BFB13" s="283"/>
      <c r="BFC13" s="283"/>
      <c r="BFD13" s="283"/>
      <c r="BFE13" s="283"/>
      <c r="BFF13" s="283"/>
      <c r="BFG13" s="283"/>
      <c r="BFH13" s="283"/>
      <c r="BFI13" s="283"/>
      <c r="BFJ13" s="283"/>
      <c r="BFK13" s="283"/>
      <c r="BFL13" s="283"/>
      <c r="BFM13" s="283"/>
      <c r="BFN13" s="283"/>
      <c r="BFO13" s="283"/>
      <c r="BFP13" s="283"/>
      <c r="BFQ13" s="283"/>
      <c r="BFR13" s="283"/>
      <c r="BFS13" s="283"/>
      <c r="BFT13" s="283"/>
      <c r="BFU13" s="283"/>
      <c r="BFV13" s="283"/>
      <c r="BFW13" s="283"/>
      <c r="BFX13" s="283"/>
      <c r="BFY13" s="283"/>
      <c r="BFZ13" s="283"/>
      <c r="BGA13" s="283"/>
      <c r="BGB13" s="283"/>
      <c r="BGC13" s="283"/>
      <c r="BGD13" s="283"/>
      <c r="BGE13" s="283"/>
      <c r="BGF13" s="283"/>
      <c r="BGG13" s="283"/>
      <c r="BGH13" s="283"/>
      <c r="BGI13" s="283"/>
      <c r="BGJ13" s="283"/>
      <c r="BGK13" s="283"/>
      <c r="BGL13" s="283"/>
      <c r="BGM13" s="283"/>
      <c r="BGN13" s="283"/>
      <c r="BGO13" s="283"/>
      <c r="BGP13" s="283"/>
      <c r="BGQ13" s="283"/>
      <c r="BGR13" s="283"/>
      <c r="BGS13" s="283"/>
      <c r="BGT13" s="283"/>
      <c r="BGU13" s="283"/>
      <c r="BGV13" s="283"/>
      <c r="BGW13" s="283"/>
      <c r="BGX13" s="283"/>
      <c r="BGY13" s="283"/>
      <c r="BGZ13" s="283"/>
      <c r="BHA13" s="283"/>
      <c r="BHB13" s="283"/>
      <c r="BHC13" s="283"/>
      <c r="BHD13" s="283"/>
      <c r="BHE13" s="283"/>
      <c r="BHF13" s="283"/>
      <c r="BHG13" s="283"/>
      <c r="BHH13" s="283"/>
      <c r="BHI13" s="283"/>
      <c r="BHJ13" s="283"/>
      <c r="BHK13" s="283"/>
      <c r="BHL13" s="283"/>
      <c r="BHM13" s="283"/>
      <c r="BHN13" s="283"/>
      <c r="BHO13" s="283"/>
      <c r="BHP13" s="283"/>
      <c r="BHQ13" s="283"/>
      <c r="BHR13" s="283"/>
      <c r="BHS13" s="283"/>
      <c r="BHT13" s="283"/>
      <c r="BHU13" s="283"/>
      <c r="BHV13" s="283"/>
      <c r="BHW13" s="283"/>
      <c r="BHX13" s="283"/>
      <c r="BHY13" s="283"/>
      <c r="BHZ13" s="283"/>
      <c r="BIA13" s="283"/>
      <c r="BIB13" s="283"/>
      <c r="BIC13" s="283"/>
      <c r="BID13" s="283"/>
      <c r="BIE13" s="283"/>
      <c r="BIF13" s="283"/>
      <c r="BIG13" s="283"/>
      <c r="BIH13" s="283"/>
      <c r="BII13" s="283"/>
      <c r="BIJ13" s="283"/>
      <c r="BIK13" s="283"/>
      <c r="BIL13" s="283"/>
      <c r="BIM13" s="283"/>
      <c r="BIN13" s="283"/>
      <c r="BIO13" s="283"/>
      <c r="BIP13" s="283"/>
      <c r="BIQ13" s="283"/>
      <c r="BIR13" s="283"/>
      <c r="BIS13" s="283"/>
      <c r="BIT13" s="283"/>
      <c r="BIU13" s="283"/>
      <c r="BIV13" s="283"/>
      <c r="BIW13" s="283"/>
      <c r="BIX13" s="283"/>
      <c r="BIY13" s="283"/>
      <c r="BIZ13" s="283"/>
      <c r="BJA13" s="283"/>
      <c r="BJB13" s="283"/>
      <c r="BJC13" s="283"/>
      <c r="BJD13" s="283"/>
      <c r="BJE13" s="283"/>
      <c r="BJF13" s="283"/>
      <c r="BJG13" s="283"/>
      <c r="BJH13" s="283"/>
      <c r="BJI13" s="283"/>
      <c r="BJJ13" s="283"/>
      <c r="BJK13" s="283"/>
      <c r="BJL13" s="283"/>
      <c r="BJM13" s="283"/>
      <c r="BJN13" s="283"/>
      <c r="BJO13" s="283"/>
      <c r="BJP13" s="283"/>
      <c r="BJQ13" s="283"/>
      <c r="BJR13" s="283"/>
      <c r="BJS13" s="283"/>
      <c r="BJT13" s="283"/>
      <c r="BJU13" s="283"/>
      <c r="BJV13" s="283"/>
      <c r="BJW13" s="283"/>
      <c r="BJX13" s="283"/>
      <c r="BJY13" s="283"/>
      <c r="BJZ13" s="283"/>
      <c r="BKA13" s="283"/>
      <c r="BKB13" s="283"/>
      <c r="BKC13" s="283"/>
      <c r="BKD13" s="283"/>
      <c r="BKE13" s="283"/>
      <c r="BKF13" s="283"/>
      <c r="BKG13" s="283"/>
      <c r="BKH13" s="283"/>
      <c r="BKI13" s="283"/>
      <c r="BKJ13" s="283"/>
      <c r="BKK13" s="283"/>
      <c r="BKL13" s="283"/>
      <c r="BKM13" s="283"/>
      <c r="BKN13" s="283"/>
      <c r="BKO13" s="283"/>
      <c r="BKP13" s="283"/>
      <c r="BKQ13" s="283"/>
      <c r="BKR13" s="283"/>
      <c r="BKS13" s="283"/>
      <c r="BKT13" s="283"/>
      <c r="BKU13" s="283"/>
      <c r="BKV13" s="283"/>
      <c r="BKW13" s="283"/>
      <c r="BKX13" s="283"/>
      <c r="BKY13" s="283"/>
      <c r="BKZ13" s="283"/>
      <c r="BLA13" s="283"/>
      <c r="BLB13" s="283"/>
      <c r="BLC13" s="283"/>
      <c r="BLD13" s="283"/>
      <c r="BLE13" s="283"/>
      <c r="BLF13" s="283"/>
      <c r="BLG13" s="283"/>
      <c r="BLH13" s="283"/>
      <c r="BLI13" s="283"/>
      <c r="BLJ13" s="283"/>
      <c r="BLK13" s="283"/>
      <c r="BLL13" s="283"/>
      <c r="BLM13" s="283"/>
      <c r="BLN13" s="283"/>
      <c r="BLO13" s="283"/>
      <c r="BLP13" s="283"/>
      <c r="BLQ13" s="283"/>
      <c r="BLR13" s="283"/>
      <c r="BLS13" s="283"/>
      <c r="BLT13" s="283"/>
      <c r="BLU13" s="283"/>
      <c r="BLV13" s="283"/>
      <c r="BLW13" s="283"/>
      <c r="BLX13" s="283"/>
      <c r="BLY13" s="283"/>
      <c r="BLZ13" s="283"/>
      <c r="BMA13" s="283"/>
      <c r="BMB13" s="283"/>
      <c r="BMC13" s="283"/>
      <c r="BMD13" s="283"/>
      <c r="BME13" s="283"/>
      <c r="BMF13" s="283"/>
      <c r="BMG13" s="283"/>
      <c r="BMH13" s="283"/>
      <c r="BMI13" s="283"/>
      <c r="BMJ13" s="283"/>
      <c r="BMK13" s="283"/>
      <c r="BML13" s="283"/>
      <c r="BMM13" s="283"/>
      <c r="BMN13" s="283"/>
      <c r="BMO13" s="283"/>
      <c r="BMP13" s="283"/>
      <c r="BMQ13" s="283"/>
      <c r="BMR13" s="283"/>
      <c r="BMS13" s="283"/>
      <c r="BMT13" s="283"/>
      <c r="BMU13" s="283"/>
      <c r="BMV13" s="283"/>
      <c r="BMW13" s="283"/>
      <c r="BMX13" s="283"/>
      <c r="BMY13" s="283"/>
      <c r="BMZ13" s="283"/>
      <c r="BNA13" s="283"/>
      <c r="BNB13" s="283"/>
      <c r="BNC13" s="283"/>
      <c r="BND13" s="283"/>
      <c r="BNE13" s="283"/>
      <c r="BNF13" s="283"/>
      <c r="BNG13" s="283"/>
      <c r="BNH13" s="283"/>
      <c r="BNI13" s="283"/>
      <c r="BNJ13" s="283"/>
      <c r="BNK13" s="283"/>
      <c r="BNL13" s="283"/>
      <c r="BNM13" s="283"/>
      <c r="BNN13" s="283"/>
      <c r="BNO13" s="283"/>
      <c r="BNP13" s="283"/>
      <c r="BNQ13" s="283"/>
      <c r="BNR13" s="283"/>
      <c r="BNS13" s="283"/>
      <c r="BNT13" s="283"/>
      <c r="BNU13" s="283"/>
      <c r="BNV13" s="283"/>
      <c r="BNW13" s="283"/>
      <c r="BNX13" s="283"/>
      <c r="BNY13" s="283"/>
      <c r="BNZ13" s="283"/>
      <c r="BOA13" s="283"/>
      <c r="BOB13" s="283"/>
      <c r="BOC13" s="283"/>
      <c r="BOD13" s="283"/>
      <c r="BOE13" s="283"/>
      <c r="BOF13" s="283"/>
      <c r="BOG13" s="283"/>
      <c r="BOH13" s="283"/>
      <c r="BOI13" s="283"/>
      <c r="BOJ13" s="283"/>
      <c r="BOK13" s="283"/>
      <c r="BOL13" s="283"/>
      <c r="BOM13" s="283"/>
      <c r="BON13" s="283"/>
      <c r="BOO13" s="283"/>
      <c r="BOP13" s="283"/>
      <c r="BOQ13" s="283"/>
      <c r="BOR13" s="283"/>
      <c r="BOS13" s="283"/>
      <c r="BOT13" s="283"/>
      <c r="BOU13" s="283"/>
      <c r="BOV13" s="283"/>
      <c r="BOW13" s="283"/>
      <c r="BOX13" s="283"/>
      <c r="BOY13" s="283"/>
      <c r="BOZ13" s="283"/>
      <c r="BPA13" s="283"/>
      <c r="BPB13" s="283"/>
      <c r="BPC13" s="283"/>
      <c r="BPD13" s="283"/>
      <c r="BPE13" s="283"/>
      <c r="BPF13" s="283"/>
      <c r="BPG13" s="283"/>
      <c r="BPH13" s="283"/>
      <c r="BPI13" s="283"/>
      <c r="BPJ13" s="283"/>
      <c r="BPK13" s="283"/>
      <c r="BPL13" s="283"/>
      <c r="BPM13" s="283"/>
      <c r="BPN13" s="283"/>
      <c r="BPO13" s="283"/>
      <c r="BPP13" s="283"/>
      <c r="BPQ13" s="283"/>
      <c r="BPR13" s="283"/>
      <c r="BPS13" s="283"/>
      <c r="BPT13" s="283"/>
      <c r="BPU13" s="283"/>
      <c r="BPV13" s="283"/>
      <c r="BPW13" s="283"/>
      <c r="BPX13" s="283"/>
      <c r="BPY13" s="283"/>
      <c r="BPZ13" s="283"/>
      <c r="BQA13" s="283"/>
      <c r="BQB13" s="283"/>
      <c r="BQC13" s="283"/>
      <c r="BQD13" s="283"/>
      <c r="BQE13" s="283"/>
      <c r="BQF13" s="283"/>
      <c r="BQG13" s="283"/>
      <c r="BQH13" s="283"/>
      <c r="BQI13" s="283"/>
      <c r="BQJ13" s="283"/>
      <c r="BQK13" s="283"/>
      <c r="BQL13" s="283"/>
      <c r="BQM13" s="283"/>
      <c r="BQN13" s="283"/>
      <c r="BQO13" s="283"/>
      <c r="BQP13" s="283"/>
      <c r="BQQ13" s="283"/>
      <c r="BQR13" s="283"/>
      <c r="BQS13" s="283"/>
      <c r="BQT13" s="283"/>
      <c r="BQU13" s="283"/>
      <c r="BQV13" s="283"/>
      <c r="BQW13" s="283"/>
      <c r="BQX13" s="283"/>
      <c r="BQY13" s="283"/>
      <c r="BQZ13" s="283"/>
      <c r="BRA13" s="283"/>
      <c r="BRB13" s="283"/>
      <c r="BRC13" s="283"/>
      <c r="BRD13" s="283"/>
      <c r="BRE13" s="283"/>
      <c r="BRF13" s="283"/>
      <c r="BRG13" s="283"/>
      <c r="BRH13" s="283"/>
      <c r="BRI13" s="283"/>
      <c r="BRJ13" s="283"/>
      <c r="BRK13" s="283"/>
      <c r="BRL13" s="283"/>
      <c r="BRM13" s="283"/>
      <c r="BRN13" s="283"/>
      <c r="BRO13" s="283"/>
      <c r="BRP13" s="283"/>
      <c r="BRQ13" s="283"/>
      <c r="BRR13" s="283"/>
      <c r="BRS13" s="283"/>
      <c r="BRT13" s="283"/>
      <c r="BRU13" s="283"/>
      <c r="BRV13" s="283"/>
      <c r="BRW13" s="283"/>
      <c r="BRX13" s="283"/>
      <c r="BRY13" s="283"/>
      <c r="BRZ13" s="283"/>
      <c r="BSA13" s="283"/>
      <c r="BSB13" s="283"/>
      <c r="BSC13" s="283"/>
      <c r="BSD13" s="283"/>
      <c r="BSE13" s="283"/>
      <c r="BSF13" s="283"/>
      <c r="BSG13" s="283"/>
      <c r="BSH13" s="283"/>
      <c r="BSI13" s="283"/>
      <c r="BSJ13" s="283"/>
      <c r="BSK13" s="283"/>
      <c r="BSL13" s="283"/>
      <c r="BSM13" s="283"/>
      <c r="BSN13" s="283"/>
      <c r="BSO13" s="283"/>
      <c r="BSP13" s="283"/>
      <c r="BSQ13" s="283"/>
      <c r="BSR13" s="283"/>
      <c r="BSS13" s="283"/>
      <c r="BST13" s="283"/>
      <c r="BSU13" s="283"/>
      <c r="BSV13" s="283"/>
      <c r="BSW13" s="283"/>
      <c r="BSX13" s="283"/>
      <c r="BSY13" s="283"/>
      <c r="BSZ13" s="283"/>
      <c r="BTA13" s="283"/>
      <c r="BTB13" s="283"/>
      <c r="BTC13" s="283"/>
      <c r="BTD13" s="283"/>
      <c r="BTE13" s="283"/>
      <c r="BTF13" s="283"/>
      <c r="BTG13" s="283"/>
      <c r="BTH13" s="283"/>
      <c r="BTI13" s="283"/>
      <c r="BTJ13" s="283"/>
      <c r="BTK13" s="283"/>
      <c r="BTL13" s="283"/>
      <c r="BTM13" s="283"/>
      <c r="BTN13" s="283"/>
      <c r="BTO13" s="283"/>
      <c r="BTP13" s="283"/>
      <c r="BTQ13" s="283"/>
      <c r="BTR13" s="283"/>
      <c r="BTS13" s="283"/>
      <c r="BTT13" s="283"/>
      <c r="BTU13" s="283"/>
      <c r="BTV13" s="283"/>
      <c r="BTW13" s="283"/>
      <c r="BTX13" s="283"/>
      <c r="BTY13" s="283"/>
      <c r="BTZ13" s="283"/>
      <c r="BUA13" s="283"/>
      <c r="BUB13" s="283"/>
      <c r="BUC13" s="283"/>
      <c r="BUD13" s="283"/>
      <c r="BUE13" s="283"/>
      <c r="BUF13" s="283"/>
      <c r="BUG13" s="283"/>
      <c r="BUH13" s="283"/>
      <c r="BUI13" s="283"/>
      <c r="BUJ13" s="283"/>
      <c r="BUK13" s="283"/>
      <c r="BUL13" s="283"/>
      <c r="BUM13" s="283"/>
      <c r="BUN13" s="283"/>
      <c r="BUO13" s="283"/>
      <c r="BUP13" s="283"/>
      <c r="BUQ13" s="283"/>
      <c r="BUR13" s="283"/>
      <c r="BUS13" s="283"/>
      <c r="BUT13" s="283"/>
      <c r="BUU13" s="283"/>
      <c r="BUV13" s="283"/>
      <c r="BUW13" s="283"/>
      <c r="BUX13" s="283"/>
      <c r="BUY13" s="283"/>
      <c r="BUZ13" s="283"/>
      <c r="BVA13" s="283"/>
      <c r="BVB13" s="283"/>
      <c r="BVC13" s="283"/>
      <c r="BVD13" s="283"/>
      <c r="BVE13" s="283"/>
      <c r="BVF13" s="283"/>
      <c r="BVG13" s="283"/>
      <c r="BVH13" s="283"/>
      <c r="BVI13" s="283"/>
      <c r="BVJ13" s="283"/>
      <c r="BVK13" s="283"/>
      <c r="BVL13" s="283"/>
      <c r="BVM13" s="283"/>
      <c r="BVN13" s="283"/>
      <c r="BVO13" s="283"/>
      <c r="BVP13" s="283"/>
      <c r="BVQ13" s="283"/>
      <c r="BVR13" s="283"/>
      <c r="BVS13" s="283"/>
      <c r="BVT13" s="283"/>
      <c r="BVU13" s="283"/>
      <c r="BVV13" s="283"/>
      <c r="BVW13" s="283"/>
      <c r="BVX13" s="283"/>
      <c r="BVY13" s="283"/>
      <c r="BVZ13" s="283"/>
      <c r="BWA13" s="283"/>
      <c r="BWB13" s="283"/>
      <c r="BWC13" s="283"/>
      <c r="BWD13" s="283"/>
      <c r="BWE13" s="283"/>
      <c r="BWF13" s="283"/>
      <c r="BWG13" s="283"/>
      <c r="BWH13" s="283"/>
      <c r="BWI13" s="283"/>
      <c r="BWJ13" s="283"/>
      <c r="BWK13" s="283"/>
      <c r="BWL13" s="283"/>
      <c r="BWM13" s="283"/>
      <c r="BWN13" s="283"/>
      <c r="BWO13" s="283"/>
      <c r="BWP13" s="283"/>
      <c r="BWQ13" s="283"/>
      <c r="BWR13" s="283"/>
      <c r="BWS13" s="283"/>
      <c r="BWT13" s="283"/>
      <c r="BWU13" s="283"/>
      <c r="BWV13" s="283"/>
      <c r="BWW13" s="283"/>
      <c r="BWX13" s="283"/>
      <c r="BWY13" s="283"/>
      <c r="BWZ13" s="283"/>
      <c r="BXA13" s="283"/>
      <c r="BXB13" s="283"/>
      <c r="BXC13" s="283"/>
      <c r="BXD13" s="283"/>
      <c r="BXE13" s="283"/>
      <c r="BXF13" s="283"/>
      <c r="BXG13" s="283"/>
      <c r="BXH13" s="283"/>
      <c r="BXI13" s="283"/>
      <c r="BXJ13" s="283"/>
      <c r="BXK13" s="283"/>
      <c r="BXL13" s="283"/>
      <c r="BXM13" s="283"/>
      <c r="BXN13" s="283"/>
      <c r="BXO13" s="283"/>
      <c r="BXP13" s="283"/>
      <c r="BXQ13" s="283"/>
      <c r="BXR13" s="283"/>
      <c r="BXS13" s="283"/>
      <c r="BXT13" s="283"/>
      <c r="BXU13" s="283"/>
      <c r="BXV13" s="283"/>
      <c r="BXW13" s="283"/>
      <c r="BXX13" s="283"/>
      <c r="BXY13" s="283"/>
      <c r="BXZ13" s="283"/>
      <c r="BYA13" s="283"/>
      <c r="BYB13" s="283"/>
      <c r="BYC13" s="283"/>
      <c r="BYD13" s="283"/>
      <c r="BYE13" s="283"/>
      <c r="BYF13" s="283"/>
      <c r="BYG13" s="283"/>
      <c r="BYH13" s="283"/>
      <c r="BYI13" s="283"/>
      <c r="BYJ13" s="283"/>
      <c r="BYK13" s="283"/>
      <c r="BYL13" s="283"/>
      <c r="BYM13" s="283"/>
      <c r="BYN13" s="283"/>
      <c r="BYO13" s="283"/>
      <c r="BYP13" s="283"/>
      <c r="BYQ13" s="283"/>
      <c r="BYR13" s="283"/>
      <c r="BYS13" s="283"/>
      <c r="BYT13" s="283"/>
      <c r="BYU13" s="283"/>
      <c r="BYV13" s="283"/>
      <c r="BYW13" s="283"/>
      <c r="BYX13" s="283"/>
      <c r="BYY13" s="283"/>
      <c r="BYZ13" s="283"/>
      <c r="BZA13" s="283"/>
      <c r="BZB13" s="283"/>
      <c r="BZC13" s="283"/>
      <c r="BZD13" s="283"/>
      <c r="BZE13" s="283"/>
      <c r="BZF13" s="283"/>
      <c r="BZG13" s="283"/>
      <c r="BZH13" s="283"/>
      <c r="BZI13" s="283"/>
      <c r="BZJ13" s="283"/>
      <c r="BZK13" s="283"/>
      <c r="BZL13" s="283"/>
      <c r="BZM13" s="283"/>
      <c r="BZN13" s="283"/>
      <c r="BZO13" s="283"/>
      <c r="BZP13" s="283"/>
      <c r="BZQ13" s="283"/>
      <c r="BZR13" s="283"/>
      <c r="BZS13" s="283"/>
      <c r="BZT13" s="283"/>
      <c r="BZU13" s="283"/>
      <c r="BZV13" s="283"/>
      <c r="BZW13" s="283"/>
      <c r="BZX13" s="283"/>
      <c r="BZY13" s="283"/>
      <c r="BZZ13" s="283"/>
      <c r="CAA13" s="283"/>
      <c r="CAB13" s="283"/>
      <c r="CAC13" s="283"/>
      <c r="CAD13" s="283"/>
      <c r="CAE13" s="283"/>
      <c r="CAF13" s="283"/>
      <c r="CAG13" s="283"/>
      <c r="CAH13" s="283"/>
      <c r="CAI13" s="283"/>
      <c r="CAJ13" s="283"/>
      <c r="CAK13" s="283"/>
      <c r="CAL13" s="283"/>
      <c r="CAM13" s="283"/>
      <c r="CAN13" s="283"/>
      <c r="CAO13" s="283"/>
      <c r="CAP13" s="283"/>
      <c r="CAQ13" s="283"/>
      <c r="CAR13" s="283"/>
      <c r="CAS13" s="283"/>
      <c r="CAT13" s="283"/>
      <c r="CAU13" s="283"/>
      <c r="CAV13" s="283"/>
      <c r="CAW13" s="283"/>
      <c r="CAX13" s="283"/>
      <c r="CAY13" s="283"/>
      <c r="CAZ13" s="283"/>
      <c r="CBA13" s="283"/>
      <c r="CBB13" s="283"/>
      <c r="CBC13" s="283"/>
      <c r="CBD13" s="283"/>
      <c r="CBE13" s="283"/>
      <c r="CBF13" s="283"/>
      <c r="CBG13" s="283"/>
      <c r="CBH13" s="283"/>
      <c r="CBI13" s="283"/>
      <c r="CBJ13" s="283"/>
      <c r="CBK13" s="283"/>
      <c r="CBL13" s="283"/>
      <c r="CBM13" s="283"/>
      <c r="CBN13" s="283"/>
      <c r="CBO13" s="283"/>
      <c r="CBP13" s="283"/>
      <c r="CBQ13" s="283"/>
      <c r="CBR13" s="283"/>
      <c r="CBS13" s="283"/>
      <c r="CBT13" s="283"/>
      <c r="CBU13" s="283"/>
      <c r="CBV13" s="283"/>
      <c r="CBW13" s="283"/>
      <c r="CBX13" s="283"/>
      <c r="CBY13" s="283"/>
      <c r="CBZ13" s="283"/>
      <c r="CCA13" s="283"/>
      <c r="CCB13" s="283"/>
      <c r="CCC13" s="283"/>
      <c r="CCD13" s="283"/>
      <c r="CCE13" s="283"/>
      <c r="CCF13" s="283"/>
      <c r="CCG13" s="283"/>
      <c r="CCH13" s="283"/>
      <c r="CCI13" s="283"/>
      <c r="CCJ13" s="283"/>
      <c r="CCK13" s="283"/>
      <c r="CCL13" s="283"/>
      <c r="CCM13" s="283"/>
      <c r="CCN13" s="283"/>
      <c r="CCO13" s="283"/>
      <c r="CCP13" s="283"/>
      <c r="CCQ13" s="283"/>
      <c r="CCR13" s="283"/>
      <c r="CCS13" s="283"/>
      <c r="CCT13" s="283"/>
      <c r="CCU13" s="283"/>
      <c r="CCV13" s="283"/>
      <c r="CCW13" s="283"/>
    </row>
    <row r="14" spans="1:2129 15008:15057" s="281" customFormat="1" ht="16.350000000000001" customHeight="1" x14ac:dyDescent="0.25">
      <c r="A14" s="267" t="s">
        <v>55</v>
      </c>
      <c r="B14" s="267">
        <v>5</v>
      </c>
      <c r="C14" s="267"/>
      <c r="D14" s="267"/>
      <c r="E14" s="267"/>
      <c r="F14" s="267"/>
      <c r="G14" s="268" t="s">
        <v>245</v>
      </c>
      <c r="H14" s="269" t="s">
        <v>246</v>
      </c>
      <c r="I14" s="269"/>
      <c r="J14" s="270"/>
      <c r="K14" s="271"/>
      <c r="L14" s="271"/>
      <c r="M14" s="272"/>
      <c r="N14" s="273">
        <v>43510</v>
      </c>
      <c r="O14" s="273">
        <v>43511</v>
      </c>
      <c r="P14" s="272">
        <v>2</v>
      </c>
      <c r="Q14" s="274">
        <v>0</v>
      </c>
      <c r="R14" s="271"/>
      <c r="S14" s="271"/>
      <c r="T14" s="272"/>
      <c r="U14" s="275"/>
      <c r="V14" s="275"/>
      <c r="W14" s="275"/>
      <c r="X14" s="276"/>
      <c r="Y14" s="277"/>
      <c r="Z14" s="278"/>
      <c r="AA14" s="279"/>
      <c r="AB14" s="280"/>
      <c r="AC14" s="282"/>
      <c r="AD14" s="282"/>
      <c r="AE14" s="282"/>
      <c r="AF14" s="282"/>
      <c r="AG14" s="282"/>
      <c r="AH14" s="282"/>
      <c r="AI14" s="282"/>
      <c r="AJ14" s="282"/>
      <c r="AK14" s="282"/>
      <c r="AL14" s="282"/>
      <c r="AM14" s="282"/>
      <c r="AN14" s="282"/>
      <c r="AO14" s="282"/>
      <c r="AP14" s="282"/>
      <c r="AQ14" s="282"/>
      <c r="AR14" s="282"/>
      <c r="AS14" s="282"/>
      <c r="AT14" s="282"/>
      <c r="AU14" s="282"/>
      <c r="AV14" s="282"/>
      <c r="AW14" s="282"/>
      <c r="AX14" s="282"/>
      <c r="AY14" s="282"/>
      <c r="AZ14" s="282"/>
      <c r="BA14" s="282"/>
      <c r="BB14" s="282"/>
      <c r="BC14" s="282"/>
      <c r="BD14" s="282"/>
      <c r="BE14" s="282"/>
      <c r="BF14" s="282"/>
      <c r="BG14" s="282"/>
      <c r="BH14" s="282"/>
      <c r="BI14" s="282"/>
      <c r="BJ14" s="282"/>
      <c r="BK14" s="282"/>
      <c r="BL14" s="282"/>
      <c r="BM14" s="282"/>
      <c r="BN14" s="282"/>
      <c r="BO14" s="282"/>
      <c r="BP14" s="282"/>
      <c r="BQ14" s="282"/>
      <c r="BR14" s="282"/>
      <c r="BS14" s="282"/>
      <c r="BT14" s="282"/>
      <c r="BU14" s="282"/>
      <c r="BV14" s="282"/>
      <c r="BW14" s="282"/>
      <c r="BX14" s="282"/>
      <c r="BY14" s="282"/>
      <c r="BZ14" s="282"/>
      <c r="CA14" s="282"/>
      <c r="CB14" s="282"/>
      <c r="CC14" s="282"/>
      <c r="CD14" s="282"/>
      <c r="CE14" s="282"/>
      <c r="CF14" s="282"/>
      <c r="CG14" s="283"/>
      <c r="CH14" s="283"/>
      <c r="CI14" s="283"/>
      <c r="CJ14" s="283"/>
      <c r="CK14" s="283"/>
      <c r="CL14" s="283"/>
      <c r="CM14" s="283"/>
      <c r="CN14" s="283"/>
      <c r="CO14" s="283"/>
      <c r="CP14" s="283"/>
      <c r="CQ14" s="283"/>
      <c r="CR14" s="283"/>
      <c r="CS14" s="283"/>
      <c r="CT14" s="283"/>
      <c r="CU14" s="283"/>
      <c r="CV14" s="283"/>
      <c r="CW14" s="283"/>
      <c r="CX14" s="283"/>
      <c r="CY14" s="283"/>
      <c r="CZ14" s="283"/>
      <c r="DA14" s="283"/>
      <c r="DB14" s="283"/>
      <c r="DC14" s="283"/>
      <c r="DD14" s="283"/>
      <c r="DE14" s="283"/>
      <c r="DF14" s="283"/>
      <c r="DG14" s="283"/>
      <c r="DH14" s="283"/>
      <c r="DI14" s="283"/>
      <c r="DJ14" s="283"/>
      <c r="DK14" s="283"/>
      <c r="DL14" s="283"/>
      <c r="DM14" s="283"/>
      <c r="DN14" s="283"/>
      <c r="DO14" s="283"/>
      <c r="DP14" s="283"/>
      <c r="DQ14" s="283"/>
      <c r="DR14" s="283"/>
      <c r="DS14" s="283"/>
      <c r="DT14" s="283"/>
      <c r="DU14" s="283"/>
      <c r="DV14" s="283"/>
      <c r="DW14" s="283"/>
      <c r="DX14" s="283"/>
      <c r="DY14" s="283"/>
      <c r="DZ14" s="283"/>
      <c r="EA14" s="283"/>
      <c r="EB14" s="283"/>
      <c r="EC14" s="283"/>
      <c r="ED14" s="283"/>
      <c r="EE14" s="283"/>
      <c r="EF14" s="283"/>
      <c r="EG14" s="283"/>
      <c r="EH14" s="283"/>
      <c r="EI14" s="283"/>
      <c r="EJ14" s="283"/>
      <c r="EK14" s="283"/>
      <c r="EL14" s="283"/>
      <c r="EM14" s="283"/>
      <c r="EN14" s="283"/>
      <c r="EO14" s="283"/>
      <c r="EP14" s="283"/>
      <c r="EQ14" s="283"/>
      <c r="ER14" s="283"/>
      <c r="ES14" s="283"/>
      <c r="ET14" s="283"/>
      <c r="EU14" s="283"/>
      <c r="EV14" s="283"/>
      <c r="EW14" s="283"/>
      <c r="EX14" s="283"/>
      <c r="EY14" s="283"/>
      <c r="EZ14" s="283"/>
      <c r="FA14" s="283"/>
      <c r="FB14" s="283"/>
      <c r="FC14" s="283"/>
      <c r="FD14" s="283"/>
      <c r="FE14" s="283"/>
      <c r="FF14" s="283"/>
      <c r="FG14" s="283"/>
      <c r="FH14" s="283"/>
      <c r="FI14" s="283"/>
      <c r="FJ14" s="283"/>
      <c r="FK14" s="283"/>
      <c r="FL14" s="283"/>
      <c r="FM14" s="283"/>
      <c r="FN14" s="283"/>
      <c r="FO14" s="283"/>
      <c r="FP14" s="283"/>
      <c r="FQ14" s="283"/>
      <c r="FR14" s="283"/>
      <c r="FS14" s="283"/>
      <c r="FT14" s="283"/>
      <c r="FU14" s="283"/>
      <c r="FV14" s="283"/>
      <c r="FW14" s="283"/>
      <c r="FX14" s="283"/>
      <c r="FY14" s="283"/>
      <c r="FZ14" s="283"/>
      <c r="GA14" s="283"/>
      <c r="GB14" s="283"/>
      <c r="GC14" s="283"/>
      <c r="GD14" s="283"/>
      <c r="GE14" s="283"/>
      <c r="GF14" s="283"/>
      <c r="GG14" s="283"/>
      <c r="GH14" s="283"/>
      <c r="GI14" s="283"/>
      <c r="GJ14" s="283"/>
      <c r="GK14" s="283"/>
      <c r="GL14" s="283"/>
      <c r="GM14" s="283"/>
      <c r="GN14" s="283"/>
      <c r="GO14" s="283"/>
      <c r="GP14" s="283"/>
      <c r="GQ14" s="283"/>
      <c r="GR14" s="283"/>
      <c r="GS14" s="283"/>
      <c r="GT14" s="283"/>
      <c r="GU14" s="283"/>
      <c r="GV14" s="283"/>
      <c r="GW14" s="283"/>
      <c r="GX14" s="283"/>
      <c r="GY14" s="283"/>
      <c r="GZ14" s="283"/>
      <c r="HA14" s="283"/>
      <c r="HB14" s="283"/>
      <c r="HC14" s="283"/>
      <c r="HD14" s="283"/>
      <c r="HE14" s="283"/>
      <c r="HF14" s="283"/>
      <c r="HG14" s="283"/>
      <c r="HH14" s="283"/>
      <c r="HI14" s="283"/>
      <c r="HJ14" s="283"/>
      <c r="HK14" s="283"/>
      <c r="HL14" s="283"/>
      <c r="HM14" s="283"/>
      <c r="HN14" s="283"/>
      <c r="HO14" s="283"/>
      <c r="HP14" s="283"/>
      <c r="HQ14" s="283"/>
      <c r="HR14" s="283"/>
      <c r="HS14" s="283"/>
      <c r="HT14" s="283"/>
      <c r="HU14" s="283"/>
      <c r="HV14" s="283"/>
      <c r="HW14" s="283"/>
      <c r="HX14" s="283"/>
      <c r="HY14" s="283"/>
      <c r="HZ14" s="283"/>
      <c r="IA14" s="283"/>
      <c r="IB14" s="283"/>
      <c r="IC14" s="283"/>
      <c r="ID14" s="283"/>
      <c r="IE14" s="283"/>
      <c r="IF14" s="283"/>
      <c r="IG14" s="283"/>
      <c r="IH14" s="283"/>
      <c r="II14" s="283"/>
      <c r="IJ14" s="283"/>
      <c r="IK14" s="283"/>
      <c r="IL14" s="283"/>
      <c r="IM14" s="283"/>
      <c r="IN14" s="283"/>
      <c r="IO14" s="283"/>
      <c r="IP14" s="283"/>
      <c r="IQ14" s="283"/>
      <c r="IR14" s="283"/>
      <c r="IS14" s="283"/>
      <c r="IT14" s="283"/>
      <c r="IU14" s="283"/>
      <c r="IV14" s="283"/>
      <c r="IW14" s="283"/>
      <c r="IX14" s="283"/>
      <c r="IY14" s="283"/>
      <c r="IZ14" s="283"/>
      <c r="JA14" s="283"/>
      <c r="JB14" s="283"/>
      <c r="JC14" s="283"/>
      <c r="JD14" s="283"/>
      <c r="JE14" s="283"/>
      <c r="JF14" s="283"/>
      <c r="JG14" s="283"/>
      <c r="JH14" s="283"/>
      <c r="JI14" s="283"/>
      <c r="JJ14" s="283"/>
      <c r="JK14" s="283"/>
      <c r="JL14" s="283"/>
      <c r="JM14" s="283"/>
      <c r="JN14" s="283"/>
      <c r="JO14" s="283"/>
      <c r="JP14" s="283"/>
      <c r="JQ14" s="283"/>
      <c r="JR14" s="283"/>
      <c r="JS14" s="283"/>
      <c r="JT14" s="283"/>
      <c r="JU14" s="283"/>
      <c r="JV14" s="283"/>
      <c r="JW14" s="283"/>
      <c r="JX14" s="283"/>
      <c r="JY14" s="283"/>
      <c r="JZ14" s="283"/>
      <c r="KA14" s="283"/>
      <c r="KB14" s="283"/>
      <c r="KC14" s="283"/>
      <c r="KD14" s="283"/>
      <c r="KE14" s="283"/>
      <c r="KF14" s="283"/>
      <c r="KG14" s="283"/>
      <c r="KH14" s="283"/>
      <c r="KI14" s="283"/>
      <c r="KJ14" s="283"/>
      <c r="KK14" s="283"/>
      <c r="KL14" s="283"/>
      <c r="KM14" s="283"/>
      <c r="KN14" s="283"/>
      <c r="KO14" s="283"/>
      <c r="KP14" s="283"/>
      <c r="KQ14" s="283"/>
      <c r="KR14" s="283"/>
      <c r="KS14" s="283"/>
      <c r="KT14" s="283"/>
      <c r="KU14" s="283"/>
      <c r="KV14" s="283"/>
      <c r="KW14" s="283"/>
      <c r="KX14" s="283"/>
      <c r="KY14" s="283"/>
      <c r="KZ14" s="283"/>
      <c r="LA14" s="283"/>
      <c r="LB14" s="283"/>
      <c r="LC14" s="283"/>
      <c r="LD14" s="283"/>
      <c r="LE14" s="283"/>
      <c r="LF14" s="283"/>
      <c r="LG14" s="283"/>
      <c r="LH14" s="283"/>
      <c r="LI14" s="283"/>
      <c r="LJ14" s="283"/>
      <c r="LK14" s="283"/>
      <c r="LL14" s="283"/>
      <c r="LM14" s="283"/>
      <c r="LN14" s="283"/>
      <c r="LO14" s="283"/>
      <c r="LP14" s="283"/>
      <c r="LQ14" s="283"/>
      <c r="LR14" s="283"/>
      <c r="LS14" s="283"/>
      <c r="LT14" s="283"/>
      <c r="LU14" s="283"/>
      <c r="LV14" s="283"/>
      <c r="LW14" s="283"/>
      <c r="LX14" s="283"/>
      <c r="LY14" s="283"/>
      <c r="LZ14" s="283"/>
      <c r="MA14" s="283"/>
      <c r="MB14" s="283"/>
      <c r="MC14" s="283"/>
      <c r="MD14" s="283"/>
      <c r="ME14" s="283"/>
      <c r="MF14" s="283"/>
      <c r="MG14" s="283"/>
      <c r="MH14" s="283"/>
      <c r="MI14" s="283"/>
      <c r="MJ14" s="283"/>
      <c r="MK14" s="283"/>
      <c r="ML14" s="283"/>
      <c r="MM14" s="283"/>
      <c r="MN14" s="283"/>
      <c r="MO14" s="283"/>
      <c r="MP14" s="283"/>
      <c r="MQ14" s="283"/>
      <c r="MR14" s="283"/>
      <c r="MS14" s="283"/>
      <c r="MT14" s="283"/>
      <c r="MU14" s="283"/>
      <c r="MV14" s="283"/>
      <c r="MW14" s="283"/>
      <c r="MX14" s="283"/>
      <c r="MY14" s="283"/>
      <c r="MZ14" s="283"/>
      <c r="NA14" s="283"/>
      <c r="NB14" s="283"/>
      <c r="NC14" s="283"/>
      <c r="ND14" s="283"/>
      <c r="NE14" s="283"/>
      <c r="NF14" s="283"/>
      <c r="NG14" s="283"/>
      <c r="NH14" s="283"/>
      <c r="NI14" s="283"/>
      <c r="NJ14" s="283"/>
      <c r="NK14" s="283"/>
      <c r="NL14" s="283"/>
      <c r="NM14" s="283"/>
      <c r="NN14" s="283"/>
      <c r="NO14" s="283"/>
      <c r="NP14" s="283"/>
      <c r="NQ14" s="283"/>
      <c r="NR14" s="283"/>
      <c r="NS14" s="283"/>
      <c r="NT14" s="283"/>
      <c r="NU14" s="283"/>
      <c r="NV14" s="283"/>
      <c r="NW14" s="283"/>
      <c r="NX14" s="283"/>
      <c r="NY14" s="283"/>
      <c r="NZ14" s="283"/>
      <c r="OA14" s="283"/>
      <c r="OB14" s="283"/>
      <c r="OC14" s="283"/>
      <c r="OD14" s="283"/>
      <c r="OE14" s="283"/>
      <c r="OF14" s="283"/>
      <c r="OG14" s="283"/>
      <c r="OH14" s="283"/>
      <c r="OI14" s="283"/>
      <c r="OJ14" s="283"/>
      <c r="OK14" s="283"/>
      <c r="OL14" s="283"/>
      <c r="OM14" s="283"/>
      <c r="ON14" s="283"/>
      <c r="OO14" s="283"/>
      <c r="OP14" s="283"/>
      <c r="OQ14" s="283"/>
      <c r="OR14" s="283"/>
      <c r="OS14" s="283"/>
      <c r="OT14" s="283"/>
      <c r="OU14" s="283"/>
      <c r="OV14" s="283"/>
      <c r="OW14" s="283"/>
      <c r="OX14" s="283"/>
      <c r="OY14" s="283"/>
      <c r="OZ14" s="283"/>
      <c r="PA14" s="283"/>
      <c r="PB14" s="283"/>
      <c r="PC14" s="283"/>
      <c r="PD14" s="283"/>
      <c r="PE14" s="283"/>
      <c r="PF14" s="283"/>
      <c r="PG14" s="283"/>
      <c r="PH14" s="283"/>
      <c r="PI14" s="283"/>
      <c r="PJ14" s="283"/>
      <c r="PK14" s="283"/>
      <c r="PL14" s="283"/>
      <c r="PM14" s="283"/>
      <c r="PN14" s="283"/>
      <c r="PO14" s="283"/>
      <c r="PP14" s="283"/>
      <c r="PQ14" s="283"/>
      <c r="PR14" s="283"/>
      <c r="PS14" s="283"/>
      <c r="PT14" s="283"/>
      <c r="PU14" s="283"/>
      <c r="PV14" s="283"/>
      <c r="PW14" s="283"/>
      <c r="PX14" s="283"/>
      <c r="PY14" s="283"/>
      <c r="PZ14" s="283"/>
      <c r="QA14" s="283"/>
      <c r="QB14" s="283"/>
      <c r="QC14" s="283"/>
      <c r="QD14" s="283"/>
      <c r="QE14" s="283"/>
      <c r="QF14" s="283"/>
      <c r="QG14" s="283"/>
      <c r="QH14" s="283"/>
      <c r="QI14" s="283"/>
      <c r="QJ14" s="283"/>
      <c r="QK14" s="283"/>
      <c r="QL14" s="283"/>
      <c r="QM14" s="283"/>
      <c r="QN14" s="283"/>
      <c r="QO14" s="283"/>
      <c r="QP14" s="283"/>
      <c r="QQ14" s="283"/>
      <c r="QR14" s="283"/>
      <c r="QS14" s="283"/>
      <c r="QT14" s="283"/>
      <c r="QU14" s="283"/>
      <c r="QV14" s="283"/>
      <c r="QW14" s="283"/>
      <c r="QX14" s="283"/>
      <c r="QY14" s="283"/>
      <c r="QZ14" s="283"/>
      <c r="RA14" s="283"/>
      <c r="RB14" s="283"/>
      <c r="RC14" s="283"/>
      <c r="RD14" s="283"/>
      <c r="RE14" s="283"/>
      <c r="RF14" s="283"/>
      <c r="RG14" s="283"/>
      <c r="RH14" s="283"/>
      <c r="RI14" s="283"/>
      <c r="RJ14" s="283"/>
      <c r="RK14" s="283"/>
      <c r="RL14" s="283"/>
      <c r="RM14" s="283"/>
      <c r="RN14" s="283"/>
      <c r="RO14" s="283"/>
      <c r="RP14" s="283"/>
      <c r="RQ14" s="283"/>
      <c r="RR14" s="283"/>
      <c r="RS14" s="283"/>
      <c r="RT14" s="283"/>
      <c r="RU14" s="283"/>
      <c r="RV14" s="283"/>
      <c r="RW14" s="283"/>
      <c r="RX14" s="283"/>
      <c r="RY14" s="283"/>
      <c r="RZ14" s="283"/>
      <c r="SA14" s="283"/>
      <c r="SB14" s="283"/>
      <c r="SC14" s="283"/>
      <c r="SD14" s="283"/>
      <c r="SE14" s="283"/>
      <c r="SF14" s="283"/>
      <c r="SG14" s="283"/>
      <c r="SH14" s="283"/>
      <c r="SI14" s="283"/>
      <c r="SJ14" s="283"/>
      <c r="SK14" s="283"/>
      <c r="SL14" s="283"/>
      <c r="SM14" s="283"/>
      <c r="SN14" s="283"/>
      <c r="SO14" s="283"/>
      <c r="SP14" s="283"/>
      <c r="SQ14" s="283"/>
      <c r="SR14" s="283"/>
      <c r="SS14" s="283"/>
      <c r="ST14" s="283"/>
      <c r="SU14" s="283"/>
      <c r="SV14" s="283"/>
      <c r="SW14" s="283"/>
      <c r="SX14" s="283"/>
      <c r="SY14" s="283"/>
      <c r="SZ14" s="283"/>
      <c r="TA14" s="283"/>
      <c r="TB14" s="283"/>
      <c r="TC14" s="283"/>
      <c r="TD14" s="283"/>
      <c r="TE14" s="283"/>
      <c r="TF14" s="283"/>
      <c r="TG14" s="283"/>
      <c r="TH14" s="283"/>
      <c r="TI14" s="283"/>
      <c r="TJ14" s="283"/>
      <c r="TK14" s="283"/>
      <c r="TL14" s="283"/>
      <c r="TM14" s="283"/>
      <c r="TN14" s="283"/>
      <c r="TO14" s="283"/>
      <c r="TP14" s="283"/>
      <c r="TQ14" s="283"/>
      <c r="TR14" s="283"/>
      <c r="TS14" s="283"/>
      <c r="TT14" s="283"/>
      <c r="TU14" s="283"/>
      <c r="TV14" s="283"/>
      <c r="TW14" s="283"/>
      <c r="TX14" s="283"/>
      <c r="TY14" s="283"/>
      <c r="TZ14" s="283"/>
      <c r="UA14" s="283"/>
      <c r="UB14" s="283"/>
      <c r="UC14" s="283"/>
      <c r="UD14" s="283"/>
      <c r="UE14" s="283"/>
      <c r="UF14" s="283"/>
      <c r="UG14" s="283"/>
      <c r="UH14" s="283"/>
      <c r="UI14" s="283"/>
      <c r="UJ14" s="283"/>
      <c r="UK14" s="283"/>
      <c r="UL14" s="283"/>
      <c r="UM14" s="283"/>
      <c r="UN14" s="283"/>
      <c r="UO14" s="283"/>
      <c r="UP14" s="283"/>
      <c r="UQ14" s="283"/>
      <c r="UR14" s="283"/>
      <c r="US14" s="283"/>
      <c r="UT14" s="283"/>
      <c r="UU14" s="283"/>
      <c r="UV14" s="283"/>
      <c r="UW14" s="283"/>
      <c r="UX14" s="283"/>
      <c r="UY14" s="283"/>
      <c r="UZ14" s="283"/>
      <c r="VA14" s="283"/>
      <c r="VB14" s="283"/>
      <c r="VC14" s="283"/>
      <c r="VD14" s="283"/>
      <c r="VE14" s="283"/>
      <c r="VF14" s="283"/>
      <c r="VG14" s="283"/>
      <c r="VH14" s="283"/>
      <c r="VI14" s="283"/>
      <c r="VJ14" s="283"/>
      <c r="VK14" s="283"/>
      <c r="VL14" s="283"/>
      <c r="VM14" s="283"/>
      <c r="VN14" s="283"/>
      <c r="VO14" s="283"/>
      <c r="VP14" s="283"/>
      <c r="VQ14" s="283"/>
      <c r="VR14" s="283"/>
      <c r="VS14" s="283"/>
      <c r="VT14" s="283"/>
      <c r="VU14" s="283"/>
      <c r="VV14" s="283"/>
      <c r="VW14" s="283"/>
      <c r="VX14" s="283"/>
      <c r="VY14" s="283"/>
      <c r="VZ14" s="283"/>
      <c r="WA14" s="283"/>
      <c r="WB14" s="283"/>
      <c r="WC14" s="283"/>
      <c r="WD14" s="283"/>
      <c r="WE14" s="283"/>
      <c r="WF14" s="283"/>
      <c r="WG14" s="283"/>
      <c r="WH14" s="283"/>
      <c r="WI14" s="283"/>
      <c r="WJ14" s="283"/>
      <c r="WK14" s="283"/>
      <c r="WL14" s="283"/>
      <c r="WM14" s="283"/>
      <c r="WN14" s="283"/>
      <c r="WO14" s="283"/>
      <c r="WP14" s="283"/>
      <c r="WQ14" s="283"/>
      <c r="WR14" s="283"/>
      <c r="WS14" s="283"/>
      <c r="WT14" s="283"/>
      <c r="WU14" s="283"/>
      <c r="WV14" s="283"/>
      <c r="WW14" s="283"/>
      <c r="WX14" s="283"/>
      <c r="WY14" s="283"/>
      <c r="WZ14" s="283"/>
      <c r="XA14" s="283"/>
      <c r="XB14" s="283"/>
      <c r="XC14" s="283"/>
      <c r="XD14" s="283"/>
      <c r="XE14" s="283"/>
      <c r="XF14" s="283"/>
      <c r="XG14" s="283"/>
      <c r="XH14" s="283"/>
      <c r="XI14" s="283"/>
      <c r="XJ14" s="283"/>
      <c r="XK14" s="283"/>
      <c r="XL14" s="283"/>
      <c r="XM14" s="283"/>
      <c r="XN14" s="283"/>
      <c r="XO14" s="283"/>
      <c r="XP14" s="283"/>
      <c r="XQ14" s="283"/>
      <c r="XR14" s="283"/>
      <c r="XS14" s="283"/>
      <c r="XT14" s="283"/>
      <c r="XU14" s="283"/>
      <c r="XV14" s="283"/>
      <c r="XW14" s="283"/>
      <c r="XX14" s="283"/>
      <c r="XY14" s="283"/>
      <c r="XZ14" s="283"/>
      <c r="YA14" s="283"/>
      <c r="YB14" s="283"/>
      <c r="YC14" s="283"/>
      <c r="YD14" s="283"/>
      <c r="YE14" s="283"/>
      <c r="YF14" s="283"/>
      <c r="YG14" s="283"/>
      <c r="YH14" s="283"/>
      <c r="YI14" s="283"/>
      <c r="YJ14" s="283"/>
      <c r="YK14" s="283"/>
      <c r="YL14" s="283"/>
      <c r="YM14" s="283"/>
      <c r="YN14" s="283"/>
      <c r="YO14" s="283"/>
      <c r="YP14" s="283"/>
      <c r="YQ14" s="283"/>
      <c r="YR14" s="283"/>
      <c r="YS14" s="283"/>
      <c r="YT14" s="283"/>
      <c r="YU14" s="283"/>
      <c r="YV14" s="283"/>
      <c r="YW14" s="283"/>
      <c r="YX14" s="283"/>
      <c r="YY14" s="283"/>
      <c r="YZ14" s="283"/>
      <c r="ZA14" s="283"/>
      <c r="ZB14" s="283"/>
      <c r="ZC14" s="283"/>
      <c r="ZD14" s="283"/>
      <c r="ZE14" s="283"/>
      <c r="ZF14" s="283"/>
      <c r="ZG14" s="283"/>
      <c r="ZH14" s="283"/>
      <c r="ZI14" s="283"/>
      <c r="ZJ14" s="283"/>
      <c r="ZK14" s="283"/>
      <c r="ZL14" s="283"/>
      <c r="ZM14" s="283"/>
      <c r="ZN14" s="283"/>
      <c r="ZO14" s="283"/>
      <c r="ZP14" s="283"/>
      <c r="ZQ14" s="283"/>
      <c r="ZR14" s="283"/>
      <c r="ZS14" s="283"/>
      <c r="ZT14" s="283"/>
      <c r="ZU14" s="283"/>
      <c r="ZV14" s="283"/>
      <c r="ZW14" s="283"/>
      <c r="ZX14" s="283"/>
      <c r="ZY14" s="283"/>
      <c r="ZZ14" s="283"/>
      <c r="AAA14" s="283"/>
      <c r="AAB14" s="283"/>
      <c r="AAC14" s="283"/>
      <c r="AAD14" s="283"/>
      <c r="AAE14" s="283"/>
      <c r="AAF14" s="283"/>
      <c r="AAG14" s="283"/>
      <c r="AAH14" s="283"/>
      <c r="AAI14" s="283"/>
      <c r="AAJ14" s="283"/>
      <c r="AAK14" s="283"/>
      <c r="AAL14" s="283"/>
      <c r="AAM14" s="283"/>
      <c r="AAN14" s="283"/>
      <c r="AAO14" s="283"/>
      <c r="AAP14" s="283"/>
      <c r="AAQ14" s="283"/>
      <c r="AAR14" s="283"/>
      <c r="AAS14" s="283"/>
      <c r="AAT14" s="283"/>
      <c r="AAU14" s="283"/>
      <c r="AAV14" s="283"/>
      <c r="AAW14" s="283"/>
      <c r="AAX14" s="283"/>
      <c r="AAY14" s="283"/>
      <c r="AAZ14" s="283"/>
      <c r="ABA14" s="283"/>
      <c r="ABB14" s="283"/>
      <c r="ABC14" s="283"/>
      <c r="ABD14" s="283"/>
      <c r="ABE14" s="283"/>
      <c r="ABF14" s="283"/>
      <c r="ABG14" s="283"/>
      <c r="ABH14" s="283"/>
      <c r="ABI14" s="283"/>
      <c r="ABJ14" s="283"/>
      <c r="ABK14" s="283"/>
      <c r="ABL14" s="283"/>
      <c r="ABM14" s="283"/>
      <c r="ABN14" s="283"/>
      <c r="ABO14" s="283"/>
      <c r="ABP14" s="283"/>
      <c r="ABQ14" s="283"/>
      <c r="ABR14" s="283"/>
      <c r="ABS14" s="283"/>
      <c r="ABT14" s="283"/>
      <c r="ABU14" s="283"/>
      <c r="ABV14" s="283"/>
      <c r="ABW14" s="283"/>
      <c r="ABX14" s="283"/>
      <c r="ABY14" s="283"/>
      <c r="ABZ14" s="283"/>
      <c r="ACA14" s="283"/>
      <c r="ACB14" s="283"/>
      <c r="ACC14" s="283"/>
      <c r="ACD14" s="283"/>
      <c r="ACE14" s="283"/>
      <c r="ACF14" s="283"/>
      <c r="ACG14" s="283"/>
      <c r="ACH14" s="283"/>
      <c r="ACI14" s="283"/>
      <c r="ACJ14" s="283"/>
      <c r="ACK14" s="283"/>
      <c r="ACL14" s="283"/>
      <c r="ACM14" s="283"/>
      <c r="ACN14" s="283"/>
      <c r="ACO14" s="283"/>
      <c r="ACP14" s="283"/>
      <c r="ACQ14" s="283"/>
      <c r="ACR14" s="283"/>
      <c r="ACS14" s="283"/>
      <c r="ACT14" s="283"/>
      <c r="ACU14" s="283"/>
      <c r="ACV14" s="283"/>
      <c r="ACW14" s="283"/>
      <c r="ACX14" s="283"/>
      <c r="ACY14" s="283"/>
      <c r="ACZ14" s="283"/>
      <c r="ADA14" s="283"/>
      <c r="ADB14" s="283"/>
      <c r="ADC14" s="283"/>
      <c r="ADD14" s="283"/>
      <c r="ADE14" s="283"/>
      <c r="ADF14" s="283"/>
      <c r="ADG14" s="283"/>
      <c r="ADH14" s="283"/>
      <c r="ADI14" s="283"/>
      <c r="ADJ14" s="283"/>
      <c r="ADK14" s="283"/>
      <c r="ADL14" s="283"/>
      <c r="ADM14" s="283"/>
      <c r="ADN14" s="283"/>
      <c r="ADO14" s="283"/>
      <c r="ADP14" s="283"/>
      <c r="ADQ14" s="283"/>
      <c r="ADR14" s="283"/>
      <c r="ADS14" s="283"/>
      <c r="ADT14" s="283"/>
      <c r="ADU14" s="283"/>
      <c r="ADV14" s="283"/>
      <c r="ADW14" s="283"/>
      <c r="ADX14" s="283"/>
      <c r="ADY14" s="283"/>
      <c r="ADZ14" s="283"/>
      <c r="AEA14" s="283"/>
      <c r="AEB14" s="283"/>
      <c r="AEC14" s="283"/>
      <c r="AED14" s="283"/>
      <c r="AEE14" s="283"/>
      <c r="AEF14" s="283"/>
      <c r="AEG14" s="283"/>
      <c r="AEH14" s="283"/>
      <c r="AEI14" s="283"/>
      <c r="AEJ14" s="283"/>
      <c r="AEK14" s="283"/>
      <c r="AEL14" s="283"/>
      <c r="AEM14" s="283"/>
      <c r="AEN14" s="283"/>
      <c r="AEO14" s="283"/>
      <c r="AEP14" s="283"/>
      <c r="AEQ14" s="283"/>
      <c r="AER14" s="283"/>
      <c r="AES14" s="283"/>
      <c r="AET14" s="283"/>
      <c r="AEU14" s="283"/>
      <c r="AEV14" s="283"/>
      <c r="AEW14" s="283"/>
      <c r="AEX14" s="283"/>
      <c r="AEY14" s="283"/>
      <c r="AEZ14" s="283"/>
      <c r="AFA14" s="283"/>
      <c r="AFB14" s="283"/>
      <c r="AFC14" s="283"/>
      <c r="AFD14" s="283"/>
      <c r="AFE14" s="283"/>
      <c r="AFF14" s="283"/>
      <c r="AFG14" s="283"/>
      <c r="AFH14" s="283"/>
      <c r="AFI14" s="283"/>
      <c r="AFJ14" s="283"/>
      <c r="AFK14" s="283"/>
      <c r="AFL14" s="283"/>
      <c r="AFM14" s="283"/>
      <c r="AFN14" s="283"/>
      <c r="AFO14" s="283"/>
      <c r="AFP14" s="283"/>
      <c r="AFQ14" s="283"/>
      <c r="AFR14" s="283"/>
      <c r="AFS14" s="283"/>
      <c r="AFT14" s="283"/>
      <c r="AFU14" s="283"/>
      <c r="AFV14" s="283"/>
      <c r="AFW14" s="283"/>
      <c r="AFX14" s="283"/>
      <c r="AFY14" s="283"/>
      <c r="AFZ14" s="283"/>
      <c r="AGA14" s="283"/>
      <c r="AGB14" s="283"/>
      <c r="AGC14" s="283"/>
      <c r="AGD14" s="283"/>
      <c r="AGE14" s="283"/>
      <c r="AGF14" s="283"/>
      <c r="AGG14" s="283"/>
      <c r="AGH14" s="283"/>
      <c r="AGI14" s="283"/>
      <c r="AGJ14" s="283"/>
      <c r="AGK14" s="283"/>
      <c r="AGL14" s="283"/>
      <c r="AGM14" s="283"/>
      <c r="AGN14" s="283"/>
      <c r="AGO14" s="283"/>
      <c r="AGP14" s="283"/>
      <c r="AGQ14" s="283"/>
      <c r="AGR14" s="283"/>
      <c r="AGS14" s="283"/>
      <c r="AGT14" s="283"/>
      <c r="AGU14" s="283"/>
      <c r="AGV14" s="283"/>
      <c r="AGW14" s="283"/>
      <c r="AGX14" s="283"/>
      <c r="AGY14" s="283"/>
      <c r="AGZ14" s="283"/>
      <c r="AHA14" s="283"/>
      <c r="AHB14" s="283"/>
      <c r="AHC14" s="283"/>
      <c r="AHD14" s="283"/>
      <c r="AHE14" s="283"/>
      <c r="AHF14" s="283"/>
      <c r="AHG14" s="283"/>
      <c r="AHH14" s="283"/>
      <c r="AHI14" s="283"/>
      <c r="AHJ14" s="283"/>
      <c r="AHK14" s="283"/>
      <c r="AHL14" s="283"/>
      <c r="AHM14" s="283"/>
      <c r="AHN14" s="283"/>
      <c r="AHO14" s="283"/>
      <c r="AHP14" s="283"/>
      <c r="AHQ14" s="283"/>
      <c r="AHR14" s="283"/>
      <c r="AHS14" s="283"/>
      <c r="AHT14" s="283"/>
      <c r="AHU14" s="283"/>
      <c r="AHV14" s="283"/>
      <c r="AHW14" s="283"/>
      <c r="AHX14" s="283"/>
      <c r="AHY14" s="283"/>
      <c r="AHZ14" s="283"/>
      <c r="AIA14" s="283"/>
      <c r="AIB14" s="283"/>
      <c r="AIC14" s="283"/>
      <c r="AID14" s="283"/>
      <c r="AIE14" s="283"/>
      <c r="AIF14" s="283"/>
      <c r="AIG14" s="283"/>
      <c r="AIH14" s="283"/>
      <c r="AII14" s="283"/>
      <c r="AIJ14" s="283"/>
      <c r="AIK14" s="283"/>
      <c r="AIL14" s="283"/>
      <c r="AIM14" s="283"/>
      <c r="AIN14" s="283"/>
      <c r="AIO14" s="283"/>
      <c r="AIP14" s="283"/>
      <c r="AIQ14" s="283"/>
      <c r="AIR14" s="283"/>
      <c r="AIS14" s="283"/>
      <c r="AIT14" s="283"/>
      <c r="AIU14" s="283"/>
      <c r="AIV14" s="283"/>
      <c r="AIW14" s="283"/>
      <c r="AIX14" s="283"/>
      <c r="AIY14" s="283"/>
      <c r="AIZ14" s="283"/>
      <c r="AJA14" s="283"/>
      <c r="AJB14" s="283"/>
      <c r="AJC14" s="283"/>
      <c r="AJD14" s="283"/>
      <c r="AJE14" s="283"/>
      <c r="AJF14" s="283"/>
      <c r="AJG14" s="283"/>
      <c r="AJH14" s="283"/>
      <c r="AJI14" s="283"/>
      <c r="AJJ14" s="283"/>
      <c r="AJK14" s="283"/>
      <c r="AJL14" s="283"/>
      <c r="AJM14" s="283"/>
      <c r="AJN14" s="283"/>
      <c r="AJO14" s="283"/>
      <c r="AJP14" s="283"/>
      <c r="AJQ14" s="283"/>
      <c r="AJR14" s="283"/>
      <c r="AJS14" s="283"/>
      <c r="AJT14" s="283"/>
      <c r="AJU14" s="283"/>
      <c r="AJV14" s="283"/>
      <c r="AJW14" s="283"/>
      <c r="AJX14" s="283"/>
      <c r="AJY14" s="283"/>
      <c r="AJZ14" s="283"/>
      <c r="AKA14" s="283"/>
      <c r="AKB14" s="283"/>
      <c r="AKC14" s="283"/>
      <c r="AKD14" s="283"/>
      <c r="AKE14" s="283"/>
      <c r="AKF14" s="283"/>
      <c r="AKG14" s="283"/>
      <c r="AKH14" s="283"/>
      <c r="AKI14" s="283"/>
      <c r="AKJ14" s="283"/>
      <c r="AKK14" s="283"/>
      <c r="AKL14" s="283"/>
      <c r="AKM14" s="283"/>
      <c r="AKN14" s="283"/>
      <c r="AKO14" s="283"/>
      <c r="AKP14" s="283"/>
      <c r="AKQ14" s="283"/>
      <c r="AKR14" s="283"/>
      <c r="AKS14" s="283"/>
      <c r="AKT14" s="283"/>
      <c r="AKU14" s="283"/>
      <c r="AKV14" s="283"/>
      <c r="AKW14" s="283"/>
      <c r="AKX14" s="283"/>
      <c r="AKY14" s="283"/>
      <c r="AKZ14" s="283"/>
      <c r="ALA14" s="283"/>
      <c r="ALB14" s="283"/>
      <c r="ALC14" s="283"/>
      <c r="ALD14" s="283"/>
      <c r="ALE14" s="283"/>
      <c r="ALF14" s="283"/>
      <c r="ALG14" s="283"/>
      <c r="ALH14" s="283"/>
      <c r="ALI14" s="283"/>
      <c r="ALJ14" s="283"/>
      <c r="ALK14" s="283"/>
      <c r="ALL14" s="283"/>
      <c r="ALM14" s="283"/>
      <c r="ALN14" s="283"/>
      <c r="ALO14" s="283"/>
      <c r="ALP14" s="283"/>
      <c r="ALQ14" s="283"/>
      <c r="ALR14" s="283"/>
      <c r="ALS14" s="283"/>
      <c r="ALT14" s="283"/>
      <c r="ALU14" s="283"/>
      <c r="ALV14" s="283"/>
      <c r="ALW14" s="283"/>
      <c r="ALX14" s="283"/>
      <c r="ALY14" s="283"/>
      <c r="ALZ14" s="283"/>
      <c r="AMA14" s="283"/>
      <c r="AMB14" s="283"/>
      <c r="AMC14" s="283"/>
      <c r="AMD14" s="283"/>
      <c r="AME14" s="283"/>
      <c r="AMF14" s="283"/>
      <c r="AMG14" s="283"/>
      <c r="AMH14" s="283"/>
      <c r="AMI14" s="283"/>
      <c r="AMJ14" s="283"/>
      <c r="AMK14" s="283"/>
      <c r="AML14" s="283"/>
      <c r="AMM14" s="283"/>
      <c r="AMN14" s="283"/>
      <c r="AMO14" s="283"/>
      <c r="AMP14" s="283"/>
      <c r="AMQ14" s="283"/>
      <c r="AMR14" s="283"/>
      <c r="AMS14" s="283"/>
      <c r="AMT14" s="283"/>
      <c r="AMU14" s="283"/>
      <c r="AMV14" s="283"/>
      <c r="AMW14" s="283"/>
      <c r="AMX14" s="283"/>
      <c r="AMY14" s="283"/>
      <c r="AMZ14" s="283"/>
      <c r="ANA14" s="283"/>
      <c r="ANB14" s="283"/>
      <c r="ANC14" s="283"/>
      <c r="AND14" s="283"/>
      <c r="ANE14" s="283"/>
      <c r="ANF14" s="283"/>
      <c r="ANG14" s="283"/>
      <c r="ANH14" s="283"/>
      <c r="ANI14" s="283"/>
      <c r="ANJ14" s="283"/>
      <c r="ANK14" s="283"/>
      <c r="ANL14" s="283"/>
      <c r="ANM14" s="283"/>
      <c r="ANN14" s="283"/>
      <c r="ANO14" s="283"/>
      <c r="ANP14" s="283"/>
      <c r="ANQ14" s="283"/>
      <c r="ANR14" s="283"/>
      <c r="ANS14" s="283"/>
      <c r="ANT14" s="283"/>
      <c r="ANU14" s="283"/>
      <c r="ANV14" s="283"/>
      <c r="ANW14" s="283"/>
      <c r="ANX14" s="283"/>
      <c r="ANY14" s="283"/>
      <c r="ANZ14" s="283"/>
      <c r="AOA14" s="283"/>
      <c r="AOB14" s="283"/>
      <c r="AOC14" s="283"/>
      <c r="AOD14" s="283"/>
      <c r="AOE14" s="283"/>
      <c r="AOF14" s="283"/>
      <c r="AOG14" s="283"/>
      <c r="AOH14" s="283"/>
      <c r="AOI14" s="283"/>
      <c r="AOJ14" s="283"/>
      <c r="AOK14" s="283"/>
      <c r="AOL14" s="283"/>
      <c r="AOM14" s="283"/>
      <c r="AON14" s="283"/>
      <c r="AOO14" s="283"/>
      <c r="AOP14" s="283"/>
      <c r="AOQ14" s="283"/>
      <c r="AOR14" s="283"/>
      <c r="AOS14" s="283"/>
      <c r="AOT14" s="283"/>
      <c r="AOU14" s="283"/>
      <c r="AOV14" s="283"/>
      <c r="AOW14" s="283"/>
      <c r="AOX14" s="283"/>
      <c r="AOY14" s="283"/>
      <c r="AOZ14" s="283"/>
      <c r="APA14" s="283"/>
      <c r="APB14" s="283"/>
      <c r="APC14" s="283"/>
      <c r="APD14" s="283"/>
      <c r="APE14" s="283"/>
      <c r="APF14" s="283"/>
      <c r="APG14" s="283"/>
      <c r="APH14" s="283"/>
      <c r="API14" s="283"/>
      <c r="APJ14" s="283"/>
      <c r="APK14" s="283"/>
      <c r="APL14" s="283"/>
      <c r="APM14" s="283"/>
      <c r="APN14" s="283"/>
      <c r="APO14" s="283"/>
      <c r="APP14" s="283"/>
      <c r="APQ14" s="283"/>
      <c r="APR14" s="283"/>
      <c r="APS14" s="283"/>
      <c r="APT14" s="283"/>
      <c r="APU14" s="283"/>
      <c r="APV14" s="283"/>
      <c r="APW14" s="283"/>
      <c r="APX14" s="283"/>
      <c r="APY14" s="283"/>
      <c r="APZ14" s="283"/>
      <c r="AQA14" s="283"/>
      <c r="AQB14" s="283"/>
      <c r="AQC14" s="283"/>
      <c r="AQD14" s="283"/>
      <c r="AQE14" s="283"/>
      <c r="AQF14" s="283"/>
      <c r="AQG14" s="283"/>
      <c r="AQH14" s="283"/>
      <c r="AQI14" s="283"/>
      <c r="AQJ14" s="283"/>
      <c r="AQK14" s="283"/>
      <c r="AQL14" s="283"/>
      <c r="AQM14" s="283"/>
      <c r="AQN14" s="283"/>
      <c r="AQO14" s="283"/>
      <c r="AQP14" s="283"/>
      <c r="AQQ14" s="283"/>
      <c r="AQR14" s="283"/>
      <c r="AQS14" s="283"/>
      <c r="AQT14" s="283"/>
      <c r="AQU14" s="283"/>
      <c r="AQV14" s="283"/>
      <c r="AQW14" s="283"/>
      <c r="AQX14" s="283"/>
      <c r="AQY14" s="283"/>
      <c r="AQZ14" s="283"/>
      <c r="ARA14" s="283"/>
      <c r="ARB14" s="283"/>
      <c r="ARC14" s="283"/>
      <c r="ARD14" s="283"/>
      <c r="ARE14" s="283"/>
      <c r="ARF14" s="283"/>
      <c r="ARG14" s="283"/>
      <c r="ARH14" s="283"/>
      <c r="ARI14" s="283"/>
      <c r="ARJ14" s="283"/>
      <c r="ARK14" s="283"/>
      <c r="ARL14" s="283"/>
      <c r="ARM14" s="283"/>
      <c r="ARN14" s="283"/>
      <c r="ARO14" s="283"/>
      <c r="ARP14" s="283"/>
      <c r="ARQ14" s="283"/>
      <c r="ARR14" s="283"/>
      <c r="ARS14" s="283"/>
      <c r="ART14" s="283"/>
      <c r="ARU14" s="283"/>
      <c r="ARV14" s="283"/>
      <c r="ARW14" s="283"/>
      <c r="ARX14" s="283"/>
      <c r="ARY14" s="283"/>
      <c r="ARZ14" s="283"/>
      <c r="ASA14" s="283"/>
      <c r="ASB14" s="283"/>
      <c r="ASC14" s="283"/>
      <c r="ASD14" s="283"/>
      <c r="ASE14" s="283"/>
      <c r="ASF14" s="283"/>
      <c r="ASG14" s="283"/>
      <c r="ASH14" s="283"/>
      <c r="ASI14" s="283"/>
      <c r="ASJ14" s="283"/>
      <c r="ASK14" s="283"/>
      <c r="ASL14" s="283"/>
      <c r="ASM14" s="283"/>
      <c r="ASN14" s="283"/>
      <c r="ASO14" s="283"/>
      <c r="ASP14" s="283"/>
      <c r="ASQ14" s="283"/>
      <c r="ASR14" s="283"/>
      <c r="ASS14" s="283"/>
      <c r="AST14" s="283"/>
      <c r="ASU14" s="283"/>
      <c r="ASV14" s="283"/>
      <c r="ASW14" s="283"/>
      <c r="ASX14" s="283"/>
      <c r="ASY14" s="283"/>
      <c r="ASZ14" s="283"/>
      <c r="ATA14" s="283"/>
      <c r="ATB14" s="283"/>
      <c r="ATC14" s="283"/>
      <c r="ATD14" s="283"/>
      <c r="ATE14" s="283"/>
      <c r="ATF14" s="283"/>
      <c r="ATG14" s="283"/>
      <c r="ATH14" s="283"/>
      <c r="ATI14" s="283"/>
      <c r="ATJ14" s="283"/>
      <c r="ATK14" s="283"/>
      <c r="ATL14" s="283"/>
      <c r="ATM14" s="283"/>
      <c r="ATN14" s="283"/>
      <c r="ATO14" s="283"/>
      <c r="ATP14" s="283"/>
      <c r="ATQ14" s="283"/>
      <c r="ATR14" s="283"/>
      <c r="ATS14" s="283"/>
      <c r="ATT14" s="283"/>
      <c r="ATU14" s="283"/>
      <c r="ATV14" s="283"/>
      <c r="ATW14" s="283"/>
      <c r="ATX14" s="283"/>
      <c r="ATY14" s="283"/>
      <c r="ATZ14" s="283"/>
      <c r="AUA14" s="283"/>
      <c r="AUB14" s="283"/>
      <c r="AUC14" s="283"/>
      <c r="AUD14" s="283"/>
      <c r="AUE14" s="283"/>
      <c r="AUF14" s="283"/>
      <c r="AUG14" s="283"/>
      <c r="AUH14" s="283"/>
      <c r="AUI14" s="283"/>
      <c r="AUJ14" s="283"/>
      <c r="AUK14" s="283"/>
      <c r="AUL14" s="283"/>
      <c r="AUM14" s="283"/>
      <c r="AUN14" s="283"/>
      <c r="AUO14" s="283"/>
      <c r="AUP14" s="283"/>
      <c r="AUQ14" s="283"/>
      <c r="AUR14" s="283"/>
      <c r="AUS14" s="283"/>
      <c r="AUT14" s="283"/>
      <c r="AUU14" s="283"/>
      <c r="AUV14" s="283"/>
      <c r="AUW14" s="283"/>
      <c r="AUX14" s="283"/>
      <c r="AUY14" s="283"/>
      <c r="AUZ14" s="283"/>
      <c r="AVA14" s="283"/>
      <c r="AVB14" s="283"/>
      <c r="AVC14" s="283"/>
      <c r="AVD14" s="283"/>
      <c r="AVE14" s="283"/>
      <c r="AVF14" s="283"/>
      <c r="AVG14" s="283"/>
      <c r="AVH14" s="283"/>
      <c r="AVI14" s="283"/>
      <c r="AVJ14" s="283"/>
      <c r="AVK14" s="283"/>
      <c r="AVL14" s="283"/>
      <c r="AVM14" s="283"/>
      <c r="AVN14" s="283"/>
      <c r="AVO14" s="283"/>
      <c r="AVP14" s="283"/>
      <c r="AVQ14" s="283"/>
      <c r="AVR14" s="283"/>
      <c r="AVS14" s="283"/>
      <c r="AVT14" s="283"/>
      <c r="AVU14" s="283"/>
      <c r="AVV14" s="283"/>
      <c r="AVW14" s="283"/>
      <c r="AVX14" s="283"/>
      <c r="AVY14" s="283"/>
      <c r="AVZ14" s="283"/>
      <c r="AWA14" s="283"/>
      <c r="AWB14" s="283"/>
      <c r="AWC14" s="283"/>
      <c r="AWD14" s="283"/>
      <c r="AWE14" s="283"/>
      <c r="AWF14" s="283"/>
      <c r="AWG14" s="283"/>
      <c r="AWH14" s="283"/>
      <c r="AWI14" s="283"/>
      <c r="AWJ14" s="283"/>
      <c r="AWK14" s="283"/>
      <c r="AWL14" s="283"/>
      <c r="AWM14" s="283"/>
      <c r="AWN14" s="283"/>
      <c r="AWO14" s="283"/>
      <c r="AWP14" s="283"/>
      <c r="AWQ14" s="283"/>
      <c r="AWR14" s="283"/>
      <c r="AWS14" s="283"/>
      <c r="AWT14" s="283"/>
      <c r="AWU14" s="283"/>
      <c r="AWV14" s="283"/>
      <c r="AWW14" s="283"/>
      <c r="AWX14" s="283"/>
      <c r="AWY14" s="283"/>
      <c r="AWZ14" s="283"/>
      <c r="AXA14" s="283"/>
      <c r="AXB14" s="283"/>
      <c r="AXC14" s="283"/>
      <c r="AXD14" s="283"/>
      <c r="AXE14" s="283"/>
      <c r="AXF14" s="283"/>
      <c r="AXG14" s="283"/>
      <c r="AXH14" s="283"/>
      <c r="AXI14" s="283"/>
      <c r="AXJ14" s="283"/>
      <c r="AXK14" s="283"/>
      <c r="AXL14" s="283"/>
      <c r="AXM14" s="283"/>
      <c r="AXN14" s="283"/>
      <c r="AXO14" s="283"/>
      <c r="AXP14" s="283"/>
      <c r="AXQ14" s="283"/>
      <c r="AXR14" s="283"/>
      <c r="AXS14" s="283"/>
      <c r="AXT14" s="283"/>
      <c r="AXU14" s="283"/>
      <c r="AXV14" s="283"/>
      <c r="AXW14" s="283"/>
      <c r="AXX14" s="283"/>
      <c r="AXY14" s="283"/>
      <c r="AXZ14" s="283"/>
      <c r="AYA14" s="283"/>
      <c r="AYB14" s="283"/>
      <c r="AYC14" s="283"/>
      <c r="AYD14" s="283"/>
      <c r="AYE14" s="283"/>
      <c r="AYF14" s="283"/>
      <c r="AYG14" s="283"/>
      <c r="AYH14" s="283"/>
      <c r="AYI14" s="283"/>
      <c r="AYJ14" s="283"/>
      <c r="AYK14" s="283"/>
      <c r="AYL14" s="283"/>
      <c r="AYM14" s="283"/>
      <c r="AYN14" s="283"/>
      <c r="AYO14" s="283"/>
      <c r="AYP14" s="283"/>
      <c r="AYQ14" s="283"/>
      <c r="AYR14" s="283"/>
      <c r="AYS14" s="283"/>
      <c r="AYT14" s="283"/>
      <c r="AYU14" s="283"/>
      <c r="AYV14" s="283"/>
      <c r="AYW14" s="283"/>
      <c r="AYX14" s="283"/>
      <c r="AYY14" s="283"/>
      <c r="AYZ14" s="283"/>
      <c r="AZA14" s="283"/>
      <c r="AZB14" s="283"/>
      <c r="AZC14" s="283"/>
      <c r="AZD14" s="283"/>
      <c r="AZE14" s="283"/>
      <c r="AZF14" s="283"/>
      <c r="AZG14" s="283"/>
      <c r="AZH14" s="283"/>
      <c r="AZI14" s="283"/>
      <c r="AZJ14" s="283"/>
      <c r="AZK14" s="283"/>
      <c r="AZL14" s="283"/>
      <c r="AZM14" s="283"/>
      <c r="AZN14" s="283"/>
      <c r="AZO14" s="283"/>
      <c r="AZP14" s="283"/>
      <c r="AZQ14" s="283"/>
      <c r="AZR14" s="283"/>
      <c r="AZS14" s="283"/>
      <c r="AZT14" s="283"/>
      <c r="AZU14" s="283"/>
      <c r="AZV14" s="283"/>
      <c r="AZW14" s="283"/>
      <c r="AZX14" s="283"/>
      <c r="AZY14" s="283"/>
      <c r="AZZ14" s="283"/>
      <c r="BAA14" s="283"/>
      <c r="BAB14" s="283"/>
      <c r="BAC14" s="283"/>
      <c r="BAD14" s="283"/>
      <c r="BAE14" s="283"/>
      <c r="BAF14" s="283"/>
      <c r="BAG14" s="283"/>
      <c r="BAH14" s="283"/>
      <c r="BAI14" s="283"/>
      <c r="BAJ14" s="283"/>
      <c r="BAK14" s="283"/>
      <c r="BAL14" s="283"/>
      <c r="BAM14" s="283"/>
      <c r="BAN14" s="283"/>
      <c r="BAO14" s="283"/>
      <c r="BAP14" s="283"/>
      <c r="BAQ14" s="283"/>
      <c r="BAR14" s="283"/>
      <c r="BAS14" s="283"/>
      <c r="BAT14" s="283"/>
      <c r="BAU14" s="283"/>
      <c r="BAV14" s="283"/>
      <c r="BAW14" s="283"/>
      <c r="BAX14" s="283"/>
      <c r="BAY14" s="283"/>
      <c r="BAZ14" s="283"/>
      <c r="BBA14" s="283"/>
      <c r="BBB14" s="283"/>
      <c r="BBC14" s="283"/>
      <c r="BBD14" s="283"/>
      <c r="BBE14" s="283"/>
      <c r="BBF14" s="283"/>
      <c r="BBG14" s="283"/>
      <c r="BBH14" s="283"/>
      <c r="BBI14" s="283"/>
      <c r="BBJ14" s="283"/>
      <c r="BBK14" s="283"/>
      <c r="BBL14" s="283"/>
      <c r="BBM14" s="283"/>
      <c r="BBN14" s="283"/>
      <c r="BBO14" s="283"/>
      <c r="BBP14" s="283"/>
      <c r="BBQ14" s="283"/>
      <c r="BBR14" s="283"/>
      <c r="BBS14" s="283"/>
      <c r="BBT14" s="283"/>
      <c r="BBU14" s="283"/>
      <c r="BBV14" s="283"/>
      <c r="BBW14" s="283"/>
      <c r="BBX14" s="283"/>
      <c r="BBY14" s="283"/>
      <c r="BBZ14" s="283"/>
      <c r="BCA14" s="283"/>
      <c r="BCB14" s="283"/>
      <c r="BCC14" s="283"/>
      <c r="BCD14" s="283"/>
      <c r="BCE14" s="283"/>
      <c r="BCF14" s="283"/>
      <c r="BCG14" s="283"/>
      <c r="BCH14" s="283"/>
      <c r="BCI14" s="283"/>
      <c r="BCJ14" s="283"/>
      <c r="BCK14" s="283"/>
      <c r="BCL14" s="283"/>
      <c r="BCM14" s="283"/>
      <c r="BCN14" s="283"/>
      <c r="BCO14" s="283"/>
      <c r="BCP14" s="283"/>
      <c r="BCQ14" s="283"/>
      <c r="BCR14" s="283"/>
      <c r="BCS14" s="283"/>
      <c r="BCT14" s="283"/>
      <c r="BCU14" s="283"/>
      <c r="BCV14" s="283"/>
      <c r="BCW14" s="283"/>
      <c r="BCX14" s="283"/>
      <c r="BCY14" s="283"/>
      <c r="BCZ14" s="283"/>
      <c r="BDA14" s="283"/>
      <c r="BDB14" s="283"/>
      <c r="BDC14" s="283"/>
      <c r="BDD14" s="283"/>
      <c r="BDE14" s="283"/>
      <c r="BDF14" s="283"/>
      <c r="BDG14" s="283"/>
      <c r="BDH14" s="283"/>
      <c r="BDI14" s="283"/>
      <c r="BDJ14" s="283"/>
      <c r="BDK14" s="283"/>
      <c r="BDL14" s="283"/>
      <c r="BDM14" s="283"/>
      <c r="BDN14" s="283"/>
      <c r="BDO14" s="283"/>
      <c r="BDP14" s="283"/>
      <c r="BDQ14" s="283"/>
      <c r="BDR14" s="283"/>
      <c r="BDS14" s="283"/>
      <c r="BDT14" s="283"/>
      <c r="BDU14" s="283"/>
      <c r="BDV14" s="283"/>
      <c r="BDW14" s="283"/>
      <c r="BDX14" s="283"/>
      <c r="BDY14" s="283"/>
      <c r="BDZ14" s="283"/>
      <c r="BEA14" s="283"/>
      <c r="BEB14" s="283"/>
      <c r="BEC14" s="283"/>
      <c r="BED14" s="283"/>
      <c r="BEE14" s="283"/>
      <c r="BEF14" s="283"/>
      <c r="BEG14" s="283"/>
      <c r="BEH14" s="283"/>
      <c r="BEI14" s="283"/>
      <c r="BEJ14" s="283"/>
      <c r="BEK14" s="283"/>
      <c r="BEL14" s="283"/>
      <c r="BEM14" s="283"/>
      <c r="BEN14" s="283"/>
      <c r="BEO14" s="283"/>
      <c r="BEP14" s="283"/>
      <c r="BEQ14" s="283"/>
      <c r="BER14" s="283"/>
      <c r="BES14" s="283"/>
      <c r="BET14" s="283"/>
      <c r="BEU14" s="283"/>
      <c r="BEV14" s="283"/>
      <c r="BEW14" s="283"/>
      <c r="BEX14" s="283"/>
      <c r="BEY14" s="283"/>
      <c r="BEZ14" s="283"/>
      <c r="BFA14" s="283"/>
      <c r="BFB14" s="283"/>
      <c r="BFC14" s="283"/>
      <c r="BFD14" s="283"/>
      <c r="BFE14" s="283"/>
      <c r="BFF14" s="283"/>
      <c r="BFG14" s="283"/>
      <c r="BFH14" s="283"/>
      <c r="BFI14" s="283"/>
      <c r="BFJ14" s="283"/>
      <c r="BFK14" s="283"/>
      <c r="BFL14" s="283"/>
      <c r="BFM14" s="283"/>
      <c r="BFN14" s="283"/>
      <c r="BFO14" s="283"/>
      <c r="BFP14" s="283"/>
      <c r="BFQ14" s="283"/>
      <c r="BFR14" s="283"/>
      <c r="BFS14" s="283"/>
      <c r="BFT14" s="283"/>
      <c r="BFU14" s="283"/>
      <c r="BFV14" s="283"/>
      <c r="BFW14" s="283"/>
      <c r="BFX14" s="283"/>
      <c r="BFY14" s="283"/>
      <c r="BFZ14" s="283"/>
      <c r="BGA14" s="283"/>
      <c r="BGB14" s="283"/>
      <c r="BGC14" s="283"/>
      <c r="BGD14" s="283"/>
      <c r="BGE14" s="283"/>
      <c r="BGF14" s="283"/>
      <c r="BGG14" s="283"/>
      <c r="BGH14" s="283"/>
      <c r="BGI14" s="283"/>
      <c r="BGJ14" s="283"/>
      <c r="BGK14" s="283"/>
      <c r="BGL14" s="283"/>
      <c r="BGM14" s="283"/>
      <c r="BGN14" s="283"/>
      <c r="BGO14" s="283"/>
      <c r="BGP14" s="283"/>
      <c r="BGQ14" s="283"/>
      <c r="BGR14" s="283"/>
      <c r="BGS14" s="283"/>
      <c r="BGT14" s="283"/>
      <c r="BGU14" s="283"/>
      <c r="BGV14" s="283"/>
      <c r="BGW14" s="283"/>
      <c r="BGX14" s="283"/>
      <c r="BGY14" s="283"/>
      <c r="BGZ14" s="283"/>
      <c r="BHA14" s="283"/>
      <c r="BHB14" s="283"/>
      <c r="BHC14" s="283"/>
      <c r="BHD14" s="283"/>
      <c r="BHE14" s="283"/>
      <c r="BHF14" s="283"/>
      <c r="BHG14" s="283"/>
      <c r="BHH14" s="283"/>
      <c r="BHI14" s="283"/>
      <c r="BHJ14" s="283"/>
      <c r="BHK14" s="283"/>
      <c r="BHL14" s="283"/>
      <c r="BHM14" s="283"/>
      <c r="BHN14" s="283"/>
      <c r="BHO14" s="283"/>
      <c r="BHP14" s="283"/>
      <c r="BHQ14" s="283"/>
      <c r="BHR14" s="283"/>
      <c r="BHS14" s="283"/>
      <c r="BHT14" s="283"/>
      <c r="BHU14" s="283"/>
      <c r="BHV14" s="283"/>
      <c r="BHW14" s="283"/>
      <c r="BHX14" s="283"/>
      <c r="BHY14" s="283"/>
      <c r="BHZ14" s="283"/>
      <c r="BIA14" s="283"/>
      <c r="BIB14" s="283"/>
      <c r="BIC14" s="283"/>
      <c r="BID14" s="283"/>
      <c r="BIE14" s="283"/>
      <c r="BIF14" s="283"/>
      <c r="BIG14" s="283"/>
      <c r="BIH14" s="283"/>
      <c r="BII14" s="283"/>
      <c r="BIJ14" s="283"/>
      <c r="BIK14" s="283"/>
      <c r="BIL14" s="283"/>
      <c r="BIM14" s="283"/>
      <c r="BIN14" s="283"/>
      <c r="BIO14" s="283"/>
      <c r="BIP14" s="283"/>
      <c r="BIQ14" s="283"/>
      <c r="BIR14" s="283"/>
      <c r="BIS14" s="283"/>
      <c r="BIT14" s="283"/>
      <c r="BIU14" s="283"/>
      <c r="BIV14" s="283"/>
      <c r="BIW14" s="283"/>
      <c r="BIX14" s="283"/>
      <c r="BIY14" s="283"/>
      <c r="BIZ14" s="283"/>
      <c r="BJA14" s="283"/>
      <c r="BJB14" s="283"/>
      <c r="BJC14" s="283"/>
      <c r="BJD14" s="283"/>
      <c r="BJE14" s="283"/>
      <c r="BJF14" s="283"/>
      <c r="BJG14" s="283"/>
      <c r="BJH14" s="283"/>
      <c r="BJI14" s="283"/>
      <c r="BJJ14" s="283"/>
      <c r="BJK14" s="283"/>
      <c r="BJL14" s="283"/>
      <c r="BJM14" s="283"/>
      <c r="BJN14" s="283"/>
      <c r="BJO14" s="283"/>
      <c r="BJP14" s="283"/>
      <c r="BJQ14" s="283"/>
      <c r="BJR14" s="283"/>
      <c r="BJS14" s="283"/>
      <c r="BJT14" s="283"/>
      <c r="BJU14" s="283"/>
      <c r="BJV14" s="283"/>
      <c r="BJW14" s="283"/>
      <c r="BJX14" s="283"/>
      <c r="BJY14" s="283"/>
      <c r="BJZ14" s="283"/>
      <c r="BKA14" s="283"/>
      <c r="BKB14" s="283"/>
      <c r="BKC14" s="283"/>
      <c r="BKD14" s="283"/>
      <c r="BKE14" s="283"/>
      <c r="BKF14" s="283"/>
      <c r="BKG14" s="283"/>
      <c r="BKH14" s="283"/>
      <c r="BKI14" s="283"/>
      <c r="BKJ14" s="283"/>
      <c r="BKK14" s="283"/>
      <c r="BKL14" s="283"/>
      <c r="BKM14" s="283"/>
      <c r="BKN14" s="283"/>
      <c r="BKO14" s="283"/>
      <c r="BKP14" s="283"/>
      <c r="BKQ14" s="283"/>
      <c r="BKR14" s="283"/>
      <c r="BKS14" s="283"/>
      <c r="BKT14" s="283"/>
      <c r="BKU14" s="283"/>
      <c r="BKV14" s="283"/>
      <c r="BKW14" s="283"/>
      <c r="BKX14" s="283"/>
      <c r="BKY14" s="283"/>
      <c r="BKZ14" s="283"/>
      <c r="BLA14" s="283"/>
      <c r="BLB14" s="283"/>
      <c r="BLC14" s="283"/>
      <c r="BLD14" s="283"/>
      <c r="BLE14" s="283"/>
      <c r="BLF14" s="283"/>
      <c r="BLG14" s="283"/>
      <c r="BLH14" s="283"/>
      <c r="BLI14" s="283"/>
      <c r="BLJ14" s="283"/>
      <c r="BLK14" s="283"/>
      <c r="BLL14" s="283"/>
      <c r="BLM14" s="283"/>
      <c r="BLN14" s="283"/>
      <c r="BLO14" s="283"/>
      <c r="BLP14" s="283"/>
      <c r="BLQ14" s="283"/>
      <c r="BLR14" s="283"/>
      <c r="BLS14" s="283"/>
      <c r="BLT14" s="283"/>
      <c r="BLU14" s="283"/>
      <c r="BLV14" s="283"/>
      <c r="BLW14" s="283"/>
      <c r="BLX14" s="283"/>
      <c r="BLY14" s="283"/>
      <c r="BLZ14" s="283"/>
      <c r="BMA14" s="283"/>
      <c r="BMB14" s="283"/>
      <c r="BMC14" s="283"/>
      <c r="BMD14" s="283"/>
      <c r="BME14" s="283"/>
      <c r="BMF14" s="283"/>
      <c r="BMG14" s="283"/>
      <c r="BMH14" s="283"/>
      <c r="BMI14" s="283"/>
      <c r="BMJ14" s="283"/>
      <c r="BMK14" s="283"/>
      <c r="BML14" s="283"/>
      <c r="BMM14" s="283"/>
      <c r="BMN14" s="283"/>
      <c r="BMO14" s="283"/>
      <c r="BMP14" s="283"/>
      <c r="BMQ14" s="283"/>
      <c r="BMR14" s="283"/>
      <c r="BMS14" s="283"/>
      <c r="BMT14" s="283"/>
      <c r="BMU14" s="283"/>
      <c r="BMV14" s="283"/>
      <c r="BMW14" s="283"/>
      <c r="BMX14" s="283"/>
      <c r="BMY14" s="283"/>
      <c r="BMZ14" s="283"/>
      <c r="BNA14" s="283"/>
      <c r="BNB14" s="283"/>
      <c r="BNC14" s="283"/>
      <c r="BND14" s="283"/>
      <c r="BNE14" s="283"/>
      <c r="BNF14" s="283"/>
      <c r="BNG14" s="283"/>
      <c r="BNH14" s="283"/>
      <c r="BNI14" s="283"/>
      <c r="BNJ14" s="283"/>
      <c r="BNK14" s="283"/>
      <c r="BNL14" s="283"/>
      <c r="BNM14" s="283"/>
      <c r="BNN14" s="283"/>
      <c r="BNO14" s="283"/>
      <c r="BNP14" s="283"/>
      <c r="BNQ14" s="283"/>
      <c r="BNR14" s="283"/>
      <c r="BNS14" s="283"/>
      <c r="BNT14" s="283"/>
      <c r="BNU14" s="283"/>
      <c r="BNV14" s="283"/>
      <c r="BNW14" s="283"/>
      <c r="BNX14" s="283"/>
      <c r="BNY14" s="283"/>
      <c r="BNZ14" s="283"/>
      <c r="BOA14" s="283"/>
      <c r="BOB14" s="283"/>
      <c r="BOC14" s="283"/>
      <c r="BOD14" s="283"/>
      <c r="BOE14" s="283"/>
      <c r="BOF14" s="283"/>
      <c r="BOG14" s="283"/>
      <c r="BOH14" s="283"/>
      <c r="BOI14" s="283"/>
      <c r="BOJ14" s="283"/>
      <c r="BOK14" s="283"/>
      <c r="BOL14" s="283"/>
      <c r="BOM14" s="283"/>
      <c r="BON14" s="283"/>
      <c r="BOO14" s="283"/>
      <c r="BOP14" s="283"/>
      <c r="BOQ14" s="283"/>
      <c r="BOR14" s="283"/>
      <c r="BOS14" s="283"/>
      <c r="BOT14" s="283"/>
      <c r="BOU14" s="283"/>
      <c r="BOV14" s="283"/>
      <c r="BOW14" s="283"/>
      <c r="BOX14" s="283"/>
      <c r="BOY14" s="283"/>
      <c r="BOZ14" s="283"/>
      <c r="BPA14" s="283"/>
      <c r="BPB14" s="283"/>
      <c r="BPC14" s="283"/>
      <c r="BPD14" s="283"/>
      <c r="BPE14" s="283"/>
      <c r="BPF14" s="283"/>
      <c r="BPG14" s="283"/>
      <c r="BPH14" s="283"/>
      <c r="BPI14" s="283"/>
      <c r="BPJ14" s="283"/>
      <c r="BPK14" s="283"/>
      <c r="BPL14" s="283"/>
      <c r="BPM14" s="283"/>
      <c r="BPN14" s="283"/>
      <c r="BPO14" s="283"/>
      <c r="BPP14" s="283"/>
      <c r="BPQ14" s="283"/>
      <c r="BPR14" s="283"/>
      <c r="BPS14" s="283"/>
      <c r="BPT14" s="283"/>
      <c r="BPU14" s="283"/>
      <c r="BPV14" s="283"/>
      <c r="BPW14" s="283"/>
      <c r="BPX14" s="283"/>
      <c r="BPY14" s="283"/>
      <c r="BPZ14" s="283"/>
      <c r="BQA14" s="283"/>
      <c r="BQB14" s="283"/>
      <c r="BQC14" s="283"/>
      <c r="BQD14" s="283"/>
      <c r="BQE14" s="283"/>
      <c r="BQF14" s="283"/>
      <c r="BQG14" s="283"/>
      <c r="BQH14" s="283"/>
      <c r="BQI14" s="283"/>
      <c r="BQJ14" s="283"/>
      <c r="BQK14" s="283"/>
      <c r="BQL14" s="283"/>
      <c r="BQM14" s="283"/>
      <c r="BQN14" s="283"/>
      <c r="BQO14" s="283"/>
      <c r="BQP14" s="283"/>
      <c r="BQQ14" s="283"/>
      <c r="BQR14" s="283"/>
      <c r="BQS14" s="283"/>
      <c r="BQT14" s="283"/>
      <c r="BQU14" s="283"/>
      <c r="BQV14" s="283"/>
      <c r="BQW14" s="283"/>
      <c r="BQX14" s="283"/>
      <c r="BQY14" s="283"/>
      <c r="BQZ14" s="283"/>
      <c r="BRA14" s="283"/>
      <c r="BRB14" s="283"/>
      <c r="BRC14" s="283"/>
      <c r="BRD14" s="283"/>
      <c r="BRE14" s="283"/>
      <c r="BRF14" s="283"/>
      <c r="BRG14" s="283"/>
      <c r="BRH14" s="283"/>
      <c r="BRI14" s="283"/>
      <c r="BRJ14" s="283"/>
      <c r="BRK14" s="283"/>
      <c r="BRL14" s="283"/>
      <c r="BRM14" s="283"/>
      <c r="BRN14" s="283"/>
      <c r="BRO14" s="283"/>
      <c r="BRP14" s="283"/>
      <c r="BRQ14" s="283"/>
      <c r="BRR14" s="283"/>
      <c r="BRS14" s="283"/>
      <c r="BRT14" s="283"/>
      <c r="BRU14" s="283"/>
      <c r="BRV14" s="283"/>
      <c r="BRW14" s="283"/>
      <c r="BRX14" s="283"/>
      <c r="BRY14" s="283"/>
      <c r="BRZ14" s="283"/>
      <c r="BSA14" s="283"/>
      <c r="BSB14" s="283"/>
      <c r="BSC14" s="283"/>
      <c r="BSD14" s="283"/>
      <c r="BSE14" s="283"/>
      <c r="BSF14" s="283"/>
      <c r="BSG14" s="283"/>
      <c r="BSH14" s="283"/>
      <c r="BSI14" s="283"/>
      <c r="BSJ14" s="283"/>
      <c r="BSK14" s="283"/>
      <c r="BSL14" s="283"/>
      <c r="BSM14" s="283"/>
      <c r="BSN14" s="283"/>
      <c r="BSO14" s="283"/>
      <c r="BSP14" s="283"/>
      <c r="BSQ14" s="283"/>
      <c r="BSR14" s="283"/>
      <c r="BSS14" s="283"/>
      <c r="BST14" s="283"/>
      <c r="BSU14" s="283"/>
      <c r="BSV14" s="283"/>
      <c r="BSW14" s="283"/>
      <c r="BSX14" s="283"/>
      <c r="BSY14" s="283"/>
      <c r="BSZ14" s="283"/>
      <c r="BTA14" s="283"/>
      <c r="BTB14" s="283"/>
      <c r="BTC14" s="283"/>
      <c r="BTD14" s="283"/>
      <c r="BTE14" s="283"/>
      <c r="BTF14" s="283"/>
      <c r="BTG14" s="283"/>
      <c r="BTH14" s="283"/>
      <c r="BTI14" s="283"/>
      <c r="BTJ14" s="283"/>
      <c r="BTK14" s="283"/>
      <c r="BTL14" s="283"/>
      <c r="BTM14" s="283"/>
      <c r="BTN14" s="283"/>
      <c r="BTO14" s="283"/>
      <c r="BTP14" s="283"/>
      <c r="BTQ14" s="283"/>
      <c r="BTR14" s="283"/>
      <c r="BTS14" s="283"/>
      <c r="BTT14" s="283"/>
      <c r="BTU14" s="283"/>
      <c r="BTV14" s="283"/>
      <c r="BTW14" s="283"/>
      <c r="BTX14" s="283"/>
      <c r="BTY14" s="283"/>
      <c r="BTZ14" s="283"/>
      <c r="BUA14" s="283"/>
      <c r="BUB14" s="283"/>
      <c r="BUC14" s="283"/>
      <c r="BUD14" s="283"/>
      <c r="BUE14" s="283"/>
      <c r="BUF14" s="283"/>
      <c r="BUG14" s="283"/>
      <c r="BUH14" s="283"/>
      <c r="BUI14" s="283"/>
      <c r="BUJ14" s="283"/>
      <c r="BUK14" s="283"/>
      <c r="BUL14" s="283"/>
      <c r="BUM14" s="283"/>
      <c r="BUN14" s="283"/>
      <c r="BUO14" s="283"/>
      <c r="BUP14" s="283"/>
      <c r="BUQ14" s="283"/>
      <c r="BUR14" s="283"/>
      <c r="BUS14" s="283"/>
      <c r="BUT14" s="283"/>
      <c r="BUU14" s="283"/>
      <c r="BUV14" s="283"/>
      <c r="BUW14" s="283"/>
      <c r="BUX14" s="283"/>
      <c r="BUY14" s="283"/>
      <c r="BUZ14" s="283"/>
      <c r="BVA14" s="283"/>
      <c r="BVB14" s="283"/>
      <c r="BVC14" s="283"/>
      <c r="BVD14" s="283"/>
      <c r="BVE14" s="283"/>
      <c r="BVF14" s="283"/>
      <c r="BVG14" s="283"/>
      <c r="BVH14" s="283"/>
      <c r="BVI14" s="283"/>
      <c r="BVJ14" s="283"/>
      <c r="BVK14" s="283"/>
      <c r="BVL14" s="283"/>
      <c r="BVM14" s="283"/>
      <c r="BVN14" s="283"/>
      <c r="BVO14" s="283"/>
      <c r="BVP14" s="283"/>
      <c r="BVQ14" s="283"/>
      <c r="BVR14" s="283"/>
      <c r="BVS14" s="283"/>
      <c r="BVT14" s="283"/>
      <c r="BVU14" s="283"/>
      <c r="BVV14" s="283"/>
      <c r="BVW14" s="283"/>
      <c r="BVX14" s="283"/>
      <c r="BVY14" s="283"/>
      <c r="BVZ14" s="283"/>
      <c r="BWA14" s="283"/>
      <c r="BWB14" s="283"/>
      <c r="BWC14" s="283"/>
      <c r="BWD14" s="283"/>
      <c r="BWE14" s="283"/>
      <c r="BWF14" s="283"/>
      <c r="BWG14" s="283"/>
      <c r="BWH14" s="283"/>
      <c r="BWI14" s="283"/>
      <c r="BWJ14" s="283"/>
      <c r="BWK14" s="283"/>
      <c r="BWL14" s="283"/>
      <c r="BWM14" s="283"/>
      <c r="BWN14" s="283"/>
      <c r="BWO14" s="283"/>
      <c r="BWP14" s="283"/>
      <c r="BWQ14" s="283"/>
      <c r="BWR14" s="283"/>
      <c r="BWS14" s="283"/>
      <c r="BWT14" s="283"/>
      <c r="BWU14" s="283"/>
      <c r="BWV14" s="283"/>
      <c r="BWW14" s="283"/>
      <c r="BWX14" s="283"/>
      <c r="BWY14" s="283"/>
      <c r="BWZ14" s="283"/>
      <c r="BXA14" s="283"/>
      <c r="BXB14" s="283"/>
      <c r="BXC14" s="283"/>
      <c r="BXD14" s="283"/>
      <c r="BXE14" s="283"/>
      <c r="BXF14" s="283"/>
      <c r="BXG14" s="283"/>
      <c r="BXH14" s="283"/>
      <c r="BXI14" s="283"/>
      <c r="BXJ14" s="283"/>
      <c r="BXK14" s="283"/>
      <c r="BXL14" s="283"/>
      <c r="BXM14" s="283"/>
      <c r="BXN14" s="283"/>
      <c r="BXO14" s="283"/>
      <c r="BXP14" s="283"/>
      <c r="BXQ14" s="283"/>
      <c r="BXR14" s="283"/>
      <c r="BXS14" s="283"/>
      <c r="BXT14" s="283"/>
      <c r="BXU14" s="283"/>
      <c r="BXV14" s="283"/>
      <c r="BXW14" s="283"/>
      <c r="BXX14" s="283"/>
      <c r="BXY14" s="283"/>
      <c r="BXZ14" s="283"/>
      <c r="BYA14" s="283"/>
      <c r="BYB14" s="283"/>
      <c r="BYC14" s="283"/>
      <c r="BYD14" s="283"/>
      <c r="BYE14" s="283"/>
      <c r="BYF14" s="283"/>
      <c r="BYG14" s="283"/>
      <c r="BYH14" s="283"/>
      <c r="BYI14" s="283"/>
      <c r="BYJ14" s="283"/>
      <c r="BYK14" s="283"/>
      <c r="BYL14" s="283"/>
      <c r="BYM14" s="283"/>
      <c r="BYN14" s="283"/>
      <c r="BYO14" s="283"/>
      <c r="BYP14" s="283"/>
      <c r="BYQ14" s="283"/>
      <c r="BYR14" s="283"/>
      <c r="BYS14" s="283"/>
      <c r="BYT14" s="283"/>
      <c r="BYU14" s="283"/>
      <c r="BYV14" s="283"/>
      <c r="BYW14" s="283"/>
      <c r="BYX14" s="283"/>
      <c r="BYY14" s="283"/>
      <c r="BYZ14" s="283"/>
      <c r="BZA14" s="283"/>
      <c r="BZB14" s="283"/>
      <c r="BZC14" s="283"/>
      <c r="BZD14" s="283"/>
      <c r="BZE14" s="283"/>
      <c r="BZF14" s="283"/>
      <c r="BZG14" s="283"/>
      <c r="BZH14" s="283"/>
      <c r="BZI14" s="283"/>
      <c r="BZJ14" s="283"/>
      <c r="BZK14" s="283"/>
      <c r="BZL14" s="283"/>
      <c r="BZM14" s="283"/>
      <c r="BZN14" s="283"/>
      <c r="BZO14" s="283"/>
      <c r="BZP14" s="283"/>
      <c r="BZQ14" s="283"/>
      <c r="BZR14" s="283"/>
      <c r="BZS14" s="283"/>
      <c r="BZT14" s="283"/>
      <c r="BZU14" s="283"/>
      <c r="BZV14" s="283"/>
      <c r="BZW14" s="283"/>
      <c r="BZX14" s="283"/>
      <c r="BZY14" s="283"/>
      <c r="BZZ14" s="283"/>
      <c r="CAA14" s="283"/>
      <c r="CAB14" s="283"/>
      <c r="CAC14" s="283"/>
      <c r="CAD14" s="283"/>
      <c r="CAE14" s="283"/>
      <c r="CAF14" s="283"/>
      <c r="CAG14" s="283"/>
      <c r="CAH14" s="283"/>
      <c r="CAI14" s="283"/>
      <c r="CAJ14" s="283"/>
      <c r="CAK14" s="283"/>
      <c r="CAL14" s="283"/>
      <c r="CAM14" s="283"/>
      <c r="CAN14" s="283"/>
      <c r="CAO14" s="283"/>
      <c r="CAP14" s="283"/>
      <c r="CAQ14" s="283"/>
      <c r="CAR14" s="283"/>
      <c r="CAS14" s="283"/>
      <c r="CAT14" s="283"/>
      <c r="CAU14" s="283"/>
      <c r="CAV14" s="283"/>
      <c r="CAW14" s="283"/>
      <c r="CAX14" s="283"/>
      <c r="CAY14" s="283"/>
      <c r="CAZ14" s="283"/>
      <c r="CBA14" s="283"/>
      <c r="CBB14" s="283"/>
      <c r="CBC14" s="283"/>
      <c r="CBD14" s="283"/>
      <c r="CBE14" s="283"/>
      <c r="CBF14" s="283"/>
      <c r="CBG14" s="283"/>
      <c r="CBH14" s="283"/>
      <c r="CBI14" s="283"/>
      <c r="CBJ14" s="283"/>
      <c r="CBK14" s="283"/>
      <c r="CBL14" s="283"/>
      <c r="CBM14" s="283"/>
      <c r="CBN14" s="283"/>
      <c r="CBO14" s="283"/>
      <c r="CBP14" s="283"/>
      <c r="CBQ14" s="283"/>
      <c r="CBR14" s="283"/>
      <c r="CBS14" s="283"/>
      <c r="CBT14" s="283"/>
      <c r="CBU14" s="283"/>
      <c r="CBV14" s="283"/>
      <c r="CBW14" s="283"/>
      <c r="CBX14" s="283"/>
      <c r="CBY14" s="283"/>
      <c r="CBZ14" s="283"/>
      <c r="CCA14" s="283"/>
      <c r="CCB14" s="283"/>
      <c r="CCC14" s="283"/>
      <c r="CCD14" s="283"/>
      <c r="CCE14" s="283"/>
      <c r="CCF14" s="283"/>
      <c r="CCG14" s="283"/>
      <c r="CCH14" s="283"/>
      <c r="CCI14" s="283"/>
      <c r="CCJ14" s="283"/>
      <c r="CCK14" s="283"/>
      <c r="CCL14" s="283"/>
      <c r="CCM14" s="283"/>
      <c r="CCN14" s="283"/>
      <c r="CCO14" s="283"/>
      <c r="CCP14" s="283"/>
      <c r="CCQ14" s="283"/>
      <c r="CCR14" s="283"/>
      <c r="CCS14" s="283"/>
      <c r="CCT14" s="283"/>
      <c r="CCU14" s="283"/>
      <c r="CCV14" s="283"/>
      <c r="CCW14" s="283"/>
    </row>
    <row r="15" spans="1:2129 15008:15057" ht="16.350000000000001" customHeight="1" x14ac:dyDescent="0.25">
      <c r="G15" s="250"/>
      <c r="H15" s="59" t="s">
        <v>53</v>
      </c>
      <c r="I15" s="58"/>
      <c r="J15" s="137"/>
      <c r="K15" s="57"/>
      <c r="L15" s="56"/>
      <c r="M15" s="55"/>
      <c r="N15" s="202"/>
      <c r="O15" s="202"/>
      <c r="P15" s="55"/>
      <c r="Q15" s="132"/>
      <c r="R15" s="56"/>
      <c r="S15" s="56"/>
      <c r="T15" s="55"/>
      <c r="U15" s="146"/>
      <c r="V15" s="146"/>
      <c r="W15" s="146"/>
      <c r="X15" s="54"/>
      <c r="Y15" s="54"/>
      <c r="Z15" s="54"/>
      <c r="AA15" s="54"/>
      <c r="AB15" s="54"/>
    </row>
  </sheetData>
  <sheetProtection algorithmName="SHA-512" hashValue="tF/0xbbdpXcdW+FcPXoliQdv79oQDpJ4EIgcBFMgsa4k3yAL6e9tZZWQ7KVv2qie9pXa4jFmxjwDYZiXDGKUfA==" saltValue="z/ERwDUnSbhtpsKBnt97Nw==" spinCount="100000" sheet="1" objects="1" scenarios="1" formatCells="0" formatColumns="0" formatRows="0" insertHyperlinks="0" autoFilter="0"/>
  <pageMargins left="0.25" right="0.25" top="0.5" bottom="0.5" header="0.5" footer="0.25"/>
  <pageSetup paperSize="8" scale="79" fitToHeight="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L13"/>
  <sheetViews>
    <sheetView workbookViewId="0"/>
  </sheetViews>
  <sheetFormatPr defaultRowHeight="15" x14ac:dyDescent="0.25"/>
  <cols>
    <col min="1" max="1" width="15" bestFit="1" customWidth="1"/>
    <col min="2" max="2" width="13.5703125" bestFit="1" customWidth="1"/>
    <col min="6" max="6" width="12.28515625" style="152" bestFit="1" customWidth="1"/>
    <col min="7" max="7" width="13.5703125" style="153" bestFit="1" customWidth="1"/>
    <col min="11" max="11" width="2.140625" customWidth="1"/>
  </cols>
  <sheetData>
    <row r="1" spans="1:90" x14ac:dyDescent="0.25">
      <c r="A1" s="154" t="s">
        <v>164</v>
      </c>
      <c r="B1" s="154" t="s">
        <v>69</v>
      </c>
      <c r="C1" s="154"/>
      <c r="D1" s="154"/>
      <c r="E1" s="154"/>
      <c r="F1" s="155" t="s">
        <v>166</v>
      </c>
      <c r="G1" s="156" t="s">
        <v>165</v>
      </c>
      <c r="H1" s="154"/>
      <c r="K1" s="189" t="s">
        <v>207</v>
      </c>
      <c r="L1" s="189"/>
      <c r="M1" s="189"/>
      <c r="N1" s="189"/>
      <c r="O1" s="189"/>
      <c r="P1" s="189"/>
      <c r="Q1" s="189"/>
      <c r="X1" s="157" t="s">
        <v>168</v>
      </c>
      <c r="Y1" s="157" t="s">
        <v>181</v>
      </c>
      <c r="Z1" s="157" t="s">
        <v>171</v>
      </c>
      <c r="AA1" s="157" t="s">
        <v>170</v>
      </c>
      <c r="AB1" s="157" t="s">
        <v>142</v>
      </c>
      <c r="AC1" s="157" t="s">
        <v>172</v>
      </c>
      <c r="AD1" s="157" t="s">
        <v>173</v>
      </c>
      <c r="AE1" s="157" t="s">
        <v>174</v>
      </c>
      <c r="AF1" s="157" t="s">
        <v>175</v>
      </c>
      <c r="AG1" s="157" t="s">
        <v>176</v>
      </c>
      <c r="AH1" s="157" t="s">
        <v>177</v>
      </c>
      <c r="AI1" s="157" t="s">
        <v>182</v>
      </c>
      <c r="AJ1" s="157" t="s">
        <v>183</v>
      </c>
      <c r="AK1" s="157" t="s">
        <v>184</v>
      </c>
      <c r="AL1" s="157" t="s">
        <v>186</v>
      </c>
      <c r="AM1" s="157" t="s">
        <v>187</v>
      </c>
      <c r="AN1" s="157" t="s">
        <v>190</v>
      </c>
      <c r="AO1" s="157" t="s">
        <v>191</v>
      </c>
      <c r="AP1" s="157" t="s">
        <v>188</v>
      </c>
      <c r="AQ1" s="157" t="s">
        <v>189</v>
      </c>
      <c r="AR1" s="157" t="s">
        <v>210</v>
      </c>
      <c r="BA1" s="50"/>
      <c r="BB1" s="50"/>
      <c r="BC1" s="50"/>
      <c r="BD1" s="50"/>
      <c r="BE1" s="50"/>
      <c r="BF1" s="50"/>
      <c r="BG1" s="50"/>
      <c r="BH1" s="50"/>
      <c r="BI1" s="50"/>
      <c r="BJ1" s="50"/>
      <c r="BK1" s="50"/>
      <c r="BL1" s="50"/>
      <c r="BM1" s="50"/>
      <c r="CA1" t="s">
        <v>211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203</v>
      </c>
      <c r="CH1" t="s">
        <v>200</v>
      </c>
      <c r="CI1" t="s">
        <v>201</v>
      </c>
      <c r="CJ1" t="s">
        <v>202</v>
      </c>
      <c r="CK1" t="s">
        <v>204</v>
      </c>
      <c r="CL1" t="s">
        <v>205</v>
      </c>
    </row>
    <row r="2" spans="1:90" x14ac:dyDescent="0.25">
      <c r="A2" s="154"/>
      <c r="B2" s="154"/>
      <c r="C2" s="154"/>
      <c r="D2" s="154"/>
      <c r="E2" s="154"/>
      <c r="H2" s="154"/>
      <c r="K2" s="190">
        <v>1</v>
      </c>
      <c r="L2" s="190" t="s">
        <v>193</v>
      </c>
      <c r="M2" s="190"/>
      <c r="N2" s="190"/>
      <c r="O2" s="190"/>
      <c r="P2" s="190"/>
      <c r="Q2" s="190"/>
      <c r="X2" t="s">
        <v>179</v>
      </c>
      <c r="Y2" t="s">
        <v>178</v>
      </c>
      <c r="Z2" s="192"/>
      <c r="AA2" s="191"/>
      <c r="AB2" s="1"/>
      <c r="AC2" s="170"/>
      <c r="AD2" s="184"/>
      <c r="AE2" s="183"/>
      <c r="AF2" s="194"/>
      <c r="AG2" s="171"/>
      <c r="AH2" s="185"/>
      <c r="AI2" s="1"/>
      <c r="AJ2" s="177"/>
      <c r="AK2">
        <v>2</v>
      </c>
      <c r="AL2" s="159"/>
      <c r="AM2" s="186"/>
      <c r="AN2" s="177"/>
      <c r="AO2" s="176"/>
      <c r="AP2" s="185"/>
      <c r="AQ2" s="49"/>
      <c r="AR2" s="181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CA2">
        <v>56</v>
      </c>
      <c r="CB2">
        <v>56</v>
      </c>
      <c r="CC2">
        <v>56</v>
      </c>
      <c r="CD2">
        <v>56</v>
      </c>
      <c r="CE2">
        <v>56</v>
      </c>
      <c r="CF2">
        <v>56</v>
      </c>
      <c r="CG2">
        <v>2</v>
      </c>
      <c r="CH2">
        <v>2</v>
      </c>
      <c r="CI2">
        <v>2</v>
      </c>
      <c r="CJ2">
        <v>2</v>
      </c>
      <c r="CK2">
        <v>2</v>
      </c>
      <c r="CL2">
        <v>2</v>
      </c>
    </row>
    <row r="3" spans="1:90" x14ac:dyDescent="0.25">
      <c r="A3" s="154"/>
      <c r="B3" s="154"/>
      <c r="C3" s="154"/>
      <c r="D3" s="154"/>
      <c r="E3" s="154"/>
      <c r="F3" s="155"/>
      <c r="G3" s="156"/>
      <c r="H3" s="154"/>
      <c r="K3" s="190">
        <v>2</v>
      </c>
      <c r="L3" s="190" t="s">
        <v>194</v>
      </c>
      <c r="M3" s="190"/>
      <c r="N3" s="190"/>
      <c r="O3" s="190"/>
      <c r="P3" s="190"/>
      <c r="Q3" s="190"/>
      <c r="X3" t="s">
        <v>178</v>
      </c>
      <c r="Z3" s="199"/>
      <c r="AA3" s="169"/>
      <c r="AB3" s="198"/>
      <c r="AC3" s="161"/>
      <c r="AD3" s="1"/>
      <c r="AE3" s="163"/>
      <c r="AF3" s="162"/>
      <c r="AG3" s="164"/>
      <c r="AH3" s="168"/>
      <c r="AI3" s="171"/>
      <c r="AJ3" s="176"/>
      <c r="AL3" s="173"/>
      <c r="AM3" s="187"/>
      <c r="AN3" s="158"/>
      <c r="AO3" s="188"/>
      <c r="AP3" s="49"/>
      <c r="AQ3" s="188"/>
      <c r="AR3" s="181"/>
    </row>
    <row r="4" spans="1:90" x14ac:dyDescent="0.25">
      <c r="A4" s="154"/>
      <c r="B4" s="154"/>
      <c r="C4" s="154"/>
      <c r="D4" s="154"/>
      <c r="E4" s="154"/>
      <c r="F4" s="155"/>
      <c r="G4" s="156"/>
      <c r="H4" s="154"/>
      <c r="K4" s="190">
        <v>3</v>
      </c>
      <c r="L4" s="190" t="s">
        <v>212</v>
      </c>
      <c r="M4" s="190"/>
      <c r="N4" s="190"/>
      <c r="O4" s="190"/>
      <c r="P4" s="190"/>
      <c r="Q4" s="190"/>
      <c r="X4" t="s">
        <v>180</v>
      </c>
      <c r="Z4" s="158"/>
      <c r="AA4" s="159"/>
      <c r="AB4" s="170"/>
      <c r="AC4" s="172"/>
      <c r="AD4" s="169"/>
      <c r="AE4" s="167"/>
      <c r="AF4" s="166"/>
      <c r="AG4" s="179"/>
      <c r="AH4" s="178"/>
      <c r="AI4" s="170"/>
      <c r="AJ4" s="158"/>
      <c r="AL4" s="159"/>
      <c r="AM4" s="193"/>
      <c r="AN4" s="195"/>
      <c r="AR4" s="181"/>
    </row>
    <row r="5" spans="1:90" x14ac:dyDescent="0.25">
      <c r="A5" s="154"/>
      <c r="B5" s="154"/>
      <c r="C5" s="154"/>
      <c r="D5" s="154"/>
      <c r="E5" s="154"/>
      <c r="F5" s="155"/>
      <c r="G5" s="156"/>
      <c r="H5" s="154"/>
      <c r="K5" s="190">
        <v>4</v>
      </c>
      <c r="L5" s="190" t="s">
        <v>167</v>
      </c>
      <c r="M5" s="190"/>
      <c r="N5" s="190"/>
      <c r="O5" s="190"/>
      <c r="P5" s="190"/>
      <c r="Q5" s="190"/>
      <c r="X5" t="s">
        <v>169</v>
      </c>
      <c r="Z5" s="165"/>
      <c r="AB5" s="182"/>
      <c r="AC5" s="175"/>
      <c r="AD5" s="174"/>
      <c r="AE5" s="183"/>
      <c r="AF5" s="162"/>
      <c r="AG5" s="180"/>
      <c r="AH5" s="164"/>
      <c r="AI5" s="181"/>
      <c r="AJ5" s="160"/>
      <c r="AL5" s="173"/>
      <c r="AM5" s="186"/>
      <c r="AN5" s="177"/>
      <c r="AO5" s="176"/>
      <c r="AP5" s="185"/>
      <c r="AQ5" s="49"/>
      <c r="AR5" s="181"/>
    </row>
    <row r="6" spans="1:90" x14ac:dyDescent="0.25">
      <c r="A6" s="154"/>
      <c r="B6" s="154"/>
      <c r="C6" s="154"/>
      <c r="D6" s="154"/>
      <c r="E6" s="154"/>
      <c r="F6" s="155"/>
      <c r="G6" s="156"/>
      <c r="H6" s="154"/>
      <c r="X6" t="s">
        <v>185</v>
      </c>
      <c r="Z6" s="199"/>
      <c r="AA6" s="169"/>
      <c r="AB6" s="198"/>
      <c r="AC6" s="161"/>
      <c r="AD6" s="1"/>
      <c r="AE6" s="163"/>
      <c r="AF6" s="162"/>
      <c r="AG6" s="164"/>
      <c r="AH6" s="168"/>
      <c r="AI6" s="171"/>
      <c r="AJ6" s="176"/>
      <c r="AL6" s="173"/>
      <c r="AM6" s="187"/>
      <c r="AN6" s="158"/>
      <c r="AO6" s="188"/>
      <c r="AP6" s="49"/>
      <c r="AQ6" s="188"/>
      <c r="AR6" s="181"/>
    </row>
    <row r="7" spans="1:90" x14ac:dyDescent="0.25">
      <c r="A7" s="154"/>
      <c r="B7" s="154"/>
      <c r="C7" s="154"/>
      <c r="D7" s="154"/>
      <c r="E7" s="154"/>
      <c r="F7" s="155"/>
      <c r="G7" s="156"/>
      <c r="H7" s="154"/>
    </row>
    <row r="8" spans="1:90" x14ac:dyDescent="0.25">
      <c r="A8" s="154"/>
      <c r="B8" s="154"/>
      <c r="C8" s="154"/>
      <c r="D8" s="154"/>
      <c r="E8" s="154"/>
      <c r="F8" s="155"/>
      <c r="G8" s="156"/>
      <c r="H8" s="154"/>
    </row>
    <row r="9" spans="1:90" x14ac:dyDescent="0.25">
      <c r="A9" s="154"/>
      <c r="B9" s="154"/>
      <c r="C9" s="154"/>
      <c r="D9" s="154"/>
      <c r="E9" s="154"/>
      <c r="F9" s="155"/>
      <c r="G9" s="156"/>
      <c r="H9" s="154"/>
    </row>
    <row r="10" spans="1:90" x14ac:dyDescent="0.25">
      <c r="A10" s="154"/>
      <c r="B10" s="154"/>
      <c r="C10" s="154"/>
      <c r="D10" s="154"/>
      <c r="E10" s="154"/>
      <c r="F10" s="155"/>
      <c r="G10" s="156"/>
      <c r="H10" s="154"/>
    </row>
    <row r="11" spans="1:90" x14ac:dyDescent="0.25">
      <c r="A11" s="154"/>
      <c r="B11" s="154"/>
      <c r="C11" s="154"/>
      <c r="D11" s="154"/>
      <c r="E11" s="154"/>
      <c r="F11" s="155"/>
      <c r="G11" s="156"/>
      <c r="H11" s="154"/>
    </row>
    <row r="12" spans="1:90" x14ac:dyDescent="0.25">
      <c r="A12" s="154"/>
      <c r="B12" s="154"/>
      <c r="C12" s="154"/>
      <c r="D12" s="154"/>
      <c r="E12" s="154"/>
      <c r="F12" s="155"/>
      <c r="G12" s="156"/>
      <c r="H12" s="154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</row>
    <row r="13" spans="1:90" x14ac:dyDescent="0.25">
      <c r="C13" s="154"/>
      <c r="D13" s="154"/>
      <c r="E13" s="154"/>
      <c r="F13" s="155"/>
      <c r="G13" s="156"/>
      <c r="H13" s="154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UpdateRHValues.UpdateRHValues">
                <anchor moveWithCells="1" sizeWithCells="1">
                  <from>
                    <xdr:col>11</xdr:col>
                    <xdr:colOff>95250</xdr:colOff>
                    <xdr:row>5</xdr:row>
                    <xdr:rowOff>142875</xdr:rowOff>
                  </from>
                  <to>
                    <xdr:col>13</xdr:col>
                    <xdr:colOff>257175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MoreViews64.png" Type="http://schemas.openxmlformats.org/officeDocument/2006/relationships/image" Target="images/MoreViews64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QuarterlyView64.png" Type="http://schemas.openxmlformats.org/officeDocument/2006/relationships/image" Target="images/QuarterlyView64.png"/><Relationship Id="DailyView64.png" Type="http://schemas.openxmlformats.org/officeDocument/2006/relationships/image" Target="images/daily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HalfYearlyView64.png" Type="http://schemas.openxmlformats.org/officeDocument/2006/relationships/image" Target="images/HalfYearlyView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 getVisible="GetVisible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 getVisible="GetVisible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 getVisible="GetVisible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99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1" label="Views" getVisible="GetVisible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</group>
        <group id="grpDisplay5" label="Filters" getVisible="GetVisible"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</group>
        <group id="grpDisplay2" label="Navigate" getVisible="GetVisible"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 " getVisible="GetVisible">
          <button id="btnResources" size="large" label="Resources" image="Resources64.png" onAction="ShowResources" getEnabled="GetEnabled" keytip="R"/>
        </group>
        <group id="grpSettings2" label=" " getVisible="GetVisible">
          <button id="btnHolidays" size="large" label="Holidays" image="Holidays64.png" onAction="ShowHolidayList" keytip="H" getEnabled="GetEnabled"/>
        </group>
        <group id="grpSettings" label=" " getVisible="GetVisible"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  <tab idMso="TabReview">
        <group id="grpSpellCheck" label="Proofing" insertBeforeMso="GroupProofing" getVisible="HideProofingGroups">
          <button id="btnSpellCheck" size="large" label="Resources" imageMso="GroupBlogProofing" onAction="SpellChecking" getEnabled="GetEnabled"/>
        </group>
        <group idMso="GroupProofing" getVisible="HideProofingGroups"/>
      </tab>
      <tab idMso="TabData">
        <group id="grpFilter" label="Filter" getVisible="HideFilterGroups" insertBeforeMso="GroupSortFilter">
          <button id="btnFilterAdd" size="large" label="Filter" imageMso="Filters" onAction="AddFilterToTasks" getEnabled="GetEnabled"/>
          <button id="btnFilterClear" size="large" label="Clear" imageMso="FilterClear" onAction="ClearFilterToTasks" getEnabled="GetEnabled"/>
        </group>
        <group idMso="GroupSortFilter" getVisible="HideFilterGroups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Laptop Shop</cp:lastModifiedBy>
  <cp:revision>0</cp:revision>
  <cp:lastPrinted>2018-07-21T06:46:12Z</cp:lastPrinted>
  <dcterms:created xsi:type="dcterms:W3CDTF">2016-09-10T13:03:48Z</dcterms:created>
  <dcterms:modified xsi:type="dcterms:W3CDTF">2019-02-12T17:02:23Z</dcterms:modified>
  <cp:category>Excel Template</cp:category>
  <cp:version>2.61</cp:version>
</cp:coreProperties>
</file>